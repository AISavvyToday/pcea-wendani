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<sst xmlns="http://schemas.openxmlformats.org/spreadsheetml/2006/main" count="2206" uniqueCount="1558">
  <si>
    <t xml:space="preserve">Year</t>
  </si>
  <si>
    <t xml:space="preserve">admission_number</t>
  </si>
  <si>
    <t xml:space="preserve">Name</t>
  </si>
  <si>
    <t xml:space="preserve">Class</t>
  </si>
  <si>
    <t xml:space="preserve">Contacts</t>
  </si>
  <si>
    <t xml:space="preserve">Prepayment</t>
  </si>
  <si>
    <t xml:space="preserve">Balance B/F</t>
  </si>
  <si>
    <t xml:space="preserve">Current Balance</t>
  </si>
  <si>
    <t xml:space="preserve">net_value</t>
  </si>
  <si>
    <t xml:space="preserve">PWA2254</t>
  </si>
  <si>
    <t xml:space="preserve">RYMOND NGUGI</t>
  </si>
  <si>
    <t xml:space="preserve">GRADE NINE-JSS</t>
  </si>
  <si>
    <t xml:space="preserve">PWA2258</t>
  </si>
  <si>
    <t xml:space="preserve">NICOLE KASIVA WAFULA</t>
  </si>
  <si>
    <t xml:space="preserve">PWA2262</t>
  </si>
  <si>
    <t xml:space="preserve">NICOLE GATHONI</t>
  </si>
  <si>
    <t xml:space="preserve">PWA2264</t>
  </si>
  <si>
    <t xml:space="preserve">ACELIN MUTUA</t>
  </si>
  <si>
    <t xml:space="preserve">PWA2267</t>
  </si>
  <si>
    <t xml:space="preserve">MISHA KURIA MUNYUA</t>
  </si>
  <si>
    <t xml:space="preserve">PWA2269</t>
  </si>
  <si>
    <t xml:space="preserve">VICTOR MWANGI KARIUKI</t>
  </si>
  <si>
    <t xml:space="preserve">PWA2272</t>
  </si>
  <si>
    <t xml:space="preserve">NICHOLAS KIMANI</t>
  </si>
  <si>
    <t xml:space="preserve">PWA2273</t>
  </si>
  <si>
    <t xml:space="preserve">FRANKLIN MWANGI</t>
  </si>
  <si>
    <t xml:space="preserve">PWA2274</t>
  </si>
  <si>
    <t xml:space="preserve">SHARLEAN WANJIRU</t>
  </si>
  <si>
    <t xml:space="preserve">PWA2276</t>
  </si>
  <si>
    <t xml:space="preserve">ROSELYNE WANJIKU MWANGI</t>
  </si>
  <si>
    <t xml:space="preserve">PWA2283</t>
  </si>
  <si>
    <t xml:space="preserve">MIKE NJOROGE</t>
  </si>
  <si>
    <t xml:space="preserve">PWA2284</t>
  </si>
  <si>
    <t xml:space="preserve">PRUDENCE NAITORE</t>
  </si>
  <si>
    <t xml:space="preserve">PWA2285</t>
  </si>
  <si>
    <t xml:space="preserve">GRACE KABUIYA</t>
  </si>
  <si>
    <t xml:space="preserve">PWA2286</t>
  </si>
  <si>
    <t xml:space="preserve">SUSAN TAMIA</t>
  </si>
  <si>
    <t xml:space="preserve">PWA2287</t>
  </si>
  <si>
    <t xml:space="preserve">REGINA NDINDA</t>
  </si>
  <si>
    <t xml:space="preserve">PWA2288</t>
  </si>
  <si>
    <t xml:space="preserve">PHARRELL  LEO WAMBEU</t>
  </si>
  <si>
    <t xml:space="preserve">PWA2290</t>
  </si>
  <si>
    <t xml:space="preserve">DORCAS NJOKI</t>
  </si>
  <si>
    <t xml:space="preserve">PWA2291</t>
  </si>
  <si>
    <t xml:space="preserve">FREDRICK CALEB WANJOHI</t>
  </si>
  <si>
    <t xml:space="preserve">PWA2292</t>
  </si>
  <si>
    <t xml:space="preserve">JAYDEN MARK NGANGA</t>
  </si>
  <si>
    <t xml:space="preserve">PWA2294</t>
  </si>
  <si>
    <t xml:space="preserve">LYDIA WAVINYA KIOKO</t>
  </si>
  <si>
    <t xml:space="preserve">GRADE EIGHT-JSS</t>
  </si>
  <si>
    <t xml:space="preserve">0721790180, 0790975792</t>
  </si>
  <si>
    <t xml:space="preserve">PWA2295</t>
  </si>
  <si>
    <t xml:space="preserve">ABIGAEL KERUBO MOSE</t>
  </si>
  <si>
    <t xml:space="preserve">0724883929, 0720488706</t>
  </si>
  <si>
    <t xml:space="preserve">PWA2296</t>
  </si>
  <si>
    <t xml:space="preserve">TRACY WANJIRU GATANA</t>
  </si>
  <si>
    <t xml:space="preserve">0740625269, 0727970540</t>
  </si>
  <si>
    <t xml:space="preserve">PWA2297</t>
  </si>
  <si>
    <t xml:space="preserve">ETHAN WAEMA</t>
  </si>
  <si>
    <t xml:space="preserve">PWA2298</t>
  </si>
  <si>
    <t xml:space="preserve">ANN MARIE NYAMBURA</t>
  </si>
  <si>
    <t xml:space="preserve">0715242308, 0700667859</t>
  </si>
  <si>
    <t xml:space="preserve">PWA2299</t>
  </si>
  <si>
    <t xml:space="preserve">LAYLAH NYAWIRA WAITHAKA</t>
  </si>
  <si>
    <t xml:space="preserve">0726844189, 0701517349</t>
  </si>
  <si>
    <t xml:space="preserve">PWA2302</t>
  </si>
  <si>
    <t xml:space="preserve">AIDAH MALAIKA</t>
  </si>
  <si>
    <t xml:space="preserve">PWA2304</t>
  </si>
  <si>
    <t xml:space="preserve">JEANEVER KERUBO ODULA</t>
  </si>
  <si>
    <t xml:space="preserve">PWA2307</t>
  </si>
  <si>
    <t xml:space="preserve">CORRETA ADRIANA</t>
  </si>
  <si>
    <t xml:space="preserve">0714297809, 0725982430</t>
  </si>
  <si>
    <t xml:space="preserve">PWA2312</t>
  </si>
  <si>
    <t xml:space="preserve">BARBARA WAMBETI MUGAMBI</t>
  </si>
  <si>
    <t xml:space="preserve">0726440807, 0715836348</t>
  </si>
  <si>
    <t xml:space="preserve">PWA2313</t>
  </si>
  <si>
    <t xml:space="preserve">TERESA WANJIKU THUKU</t>
  </si>
  <si>
    <t xml:space="preserve">0780993954, 0723222711</t>
  </si>
  <si>
    <t xml:space="preserve">PWA2314</t>
  </si>
  <si>
    <t xml:space="preserve">HOPE WAMBUI MAINA</t>
  </si>
  <si>
    <t xml:space="preserve">0725778468, 0727134474</t>
  </si>
  <si>
    <t xml:space="preserve">PWA2316</t>
  </si>
  <si>
    <t xml:space="preserve">NELVIN  OKWAYO SIKUKU</t>
  </si>
  <si>
    <t xml:space="preserve">0722213901, 0729736806</t>
  </si>
  <si>
    <t xml:space="preserve">PWA2317</t>
  </si>
  <si>
    <t xml:space="preserve">DORRIS MAKENA KIRIMI</t>
  </si>
  <si>
    <t xml:space="preserve">0720305481, 0705230681</t>
  </si>
  <si>
    <t xml:space="preserve">PWA2326</t>
  </si>
  <si>
    <t xml:space="preserve">SYLVIA MUTHIO KIIO</t>
  </si>
  <si>
    <t xml:space="preserve">0725248152, 0726408585</t>
  </si>
  <si>
    <t xml:space="preserve">PWA2328</t>
  </si>
  <si>
    <t xml:space="preserve">ABIGAEL WAETHERA MAINA</t>
  </si>
  <si>
    <t xml:space="preserve">PWA2329</t>
  </si>
  <si>
    <t xml:space="preserve">SUNDAY MAXWELL AMANI</t>
  </si>
  <si>
    <t xml:space="preserve">0799547973, 0729698641</t>
  </si>
  <si>
    <t xml:space="preserve">PWA2331</t>
  </si>
  <si>
    <t xml:space="preserve">ELSIE WANJIKU KAMAU</t>
  </si>
  <si>
    <t xml:space="preserve">0733971548, 0722572448</t>
  </si>
  <si>
    <t xml:space="preserve">PWA2332</t>
  </si>
  <si>
    <t xml:space="preserve">STACY MWIKALI WAMBUA</t>
  </si>
  <si>
    <t xml:space="preserve">0726483562, 0723800219</t>
  </si>
  <si>
    <t xml:space="preserve">PWA2333</t>
  </si>
  <si>
    <t xml:space="preserve">SHERNNY CHEPTOO CHERUIYOT</t>
  </si>
  <si>
    <t xml:space="preserve">0723780664, 0714688096</t>
  </si>
  <si>
    <t xml:space="preserve">PWA2336</t>
  </si>
  <si>
    <t xml:space="preserve">NELSON NDUBI AYOTI</t>
  </si>
  <si>
    <t xml:space="preserve">0726665903, 0741300466</t>
  </si>
  <si>
    <t xml:space="preserve">PWA2338</t>
  </si>
  <si>
    <t xml:space="preserve">BILQUEES KAMAMI</t>
  </si>
  <si>
    <t xml:space="preserve">0721160130,,0722896297,,0721100980</t>
  </si>
  <si>
    <t xml:space="preserve">PWA2340</t>
  </si>
  <si>
    <t xml:space="preserve">PRUDENCE WANGUI MAINA</t>
  </si>
  <si>
    <t xml:space="preserve">GRADE SEVEN-JSS</t>
  </si>
  <si>
    <t xml:space="preserve">PWA2344</t>
  </si>
  <si>
    <t xml:space="preserve">PRECIOUS ANGEL BONARERI MOGESI</t>
  </si>
  <si>
    <t xml:space="preserve">PWA2345</t>
  </si>
  <si>
    <t xml:space="preserve">NICOLE IKHABI SHIKUKU</t>
  </si>
  <si>
    <t xml:space="preserve">PWA2346</t>
  </si>
  <si>
    <t xml:space="preserve">SHARON BETH WANGUI</t>
  </si>
  <si>
    <t xml:space="preserve">PWA2347</t>
  </si>
  <si>
    <t xml:space="preserve">STEPHANIE NAFULA BARASA</t>
  </si>
  <si>
    <t xml:space="preserve">PWA2348</t>
  </si>
  <si>
    <t xml:space="preserve">MEYER NJOKI</t>
  </si>
  <si>
    <t xml:space="preserve">PWA2350</t>
  </si>
  <si>
    <t xml:space="preserve">GRAEME TYRESE KATAMA</t>
  </si>
  <si>
    <t xml:space="preserve">PWA2356</t>
  </si>
  <si>
    <t xml:space="preserve">MAXWELL WACHIRA NDERITU</t>
  </si>
  <si>
    <t xml:space="preserve">PWA2358</t>
  </si>
  <si>
    <t xml:space="preserve">IMBUSI BRAYDEN MUKOLWE</t>
  </si>
  <si>
    <t xml:space="preserve">PWA2359</t>
  </si>
  <si>
    <t xml:space="preserve">IAN JOHNSON NDUNGU</t>
  </si>
  <si>
    <t xml:space="preserve">PWA2360</t>
  </si>
  <si>
    <t xml:space="preserve">BEATRICE WANGARI</t>
  </si>
  <si>
    <t xml:space="preserve">PWA2362</t>
  </si>
  <si>
    <t xml:space="preserve">EMMANUEL MWANGI KUNGU</t>
  </si>
  <si>
    <t xml:space="preserve">PWA2363</t>
  </si>
  <si>
    <t xml:space="preserve">ELVIS ANDATI</t>
  </si>
  <si>
    <t xml:space="preserve">PWA2364</t>
  </si>
  <si>
    <t xml:space="preserve">ENRIQUE GIOVANI</t>
  </si>
  <si>
    <t xml:space="preserve">PWA2365</t>
  </si>
  <si>
    <t xml:space="preserve">ROSEMAYA  WAMAITHA</t>
  </si>
  <si>
    <t xml:space="preserve">PWA2368</t>
  </si>
  <si>
    <t xml:space="preserve">LEWIS NDUNGU</t>
  </si>
  <si>
    <t xml:space="preserve">PWA2369</t>
  </si>
  <si>
    <t xml:space="preserve">DAMIAN MUCHIRI</t>
  </si>
  <si>
    <t xml:space="preserve">PWA2370</t>
  </si>
  <si>
    <t xml:space="preserve">NANCY WANJIKU GICHUHI</t>
  </si>
  <si>
    <t xml:space="preserve">PWA2371</t>
  </si>
  <si>
    <t xml:space="preserve">WILSON OWUOR OMONDI</t>
  </si>
  <si>
    <t xml:space="preserve">0705310333/0723451867</t>
  </si>
  <si>
    <t xml:space="preserve">PWA2372</t>
  </si>
  <si>
    <t xml:space="preserve">WINFRED WAMBUI MUASYA</t>
  </si>
  <si>
    <t xml:space="preserve">PWA2374</t>
  </si>
  <si>
    <t xml:space="preserve">DELCEE WANJIRU MUNYUA</t>
  </si>
  <si>
    <t xml:space="preserve">PWA2375</t>
  </si>
  <si>
    <t xml:space="preserve">JESSE EBUBE</t>
  </si>
  <si>
    <t xml:space="preserve">PWA2380</t>
  </si>
  <si>
    <t xml:space="preserve">BEREKET DAVID</t>
  </si>
  <si>
    <t xml:space="preserve">PWA2384</t>
  </si>
  <si>
    <t xml:space="preserve">HIBA WANJALA THUKU</t>
  </si>
  <si>
    <t xml:space="preserve">GRADE 6</t>
  </si>
  <si>
    <t xml:space="preserve">PWA2388</t>
  </si>
  <si>
    <t xml:space="preserve">JOYPENINNAH KERUBO</t>
  </si>
  <si>
    <t xml:space="preserve">PWA2392</t>
  </si>
  <si>
    <t xml:space="preserve">EZRA MUSYA</t>
  </si>
  <si>
    <t xml:space="preserve">PWA2394</t>
  </si>
  <si>
    <t xml:space="preserve">JESSE JACKSON JUNIOR</t>
  </si>
  <si>
    <t xml:space="preserve">PWA2395</t>
  </si>
  <si>
    <t xml:space="preserve">PETER NJORA WACHIRA</t>
  </si>
  <si>
    <t xml:space="preserve">PWA2398</t>
  </si>
  <si>
    <t xml:space="preserve">JERMAINE MUTUA KIMANTHI</t>
  </si>
  <si>
    <t xml:space="preserve">PWA2401</t>
  </si>
  <si>
    <t xml:space="preserve">TROY PHILLIP MAINA</t>
  </si>
  <si>
    <t xml:space="preserve">PWA2405</t>
  </si>
  <si>
    <t xml:space="preserve">ASHLEY ADEMA MBEHI</t>
  </si>
  <si>
    <t xml:space="preserve">PWA2408</t>
  </si>
  <si>
    <t xml:space="preserve">GIFT ALVIN MWAI</t>
  </si>
  <si>
    <t xml:space="preserve">PWA2410</t>
  </si>
  <si>
    <t xml:space="preserve">TREVOR KIPRONO KOROS</t>
  </si>
  <si>
    <t xml:space="preserve">PWA2411</t>
  </si>
  <si>
    <t xml:space="preserve">TYLER GABRIEL XOLANI</t>
  </si>
  <si>
    <t xml:space="preserve">PWA2413</t>
  </si>
  <si>
    <t xml:space="preserve">KEREN KAMBUA</t>
  </si>
  <si>
    <t xml:space="preserve">PWA2414</t>
  </si>
  <si>
    <t xml:space="preserve">SOFIA NJOKI</t>
  </si>
  <si>
    <t xml:space="preserve">PWA2415</t>
  </si>
  <si>
    <t xml:space="preserve">CHRISTIANO SANG</t>
  </si>
  <si>
    <t xml:space="preserve">PWA2416</t>
  </si>
  <si>
    <t xml:space="preserve">NERON KHAEMBA SIKUKU</t>
  </si>
  <si>
    <t xml:space="preserve">PWA2417</t>
  </si>
  <si>
    <t xml:space="preserve">IAN NUTHU</t>
  </si>
  <si>
    <t xml:space="preserve">PWA2418</t>
  </si>
  <si>
    <t xml:space="preserve">OLIVIA NYAGUTHII NGATIA</t>
  </si>
  <si>
    <t xml:space="preserve">PWA2419</t>
  </si>
  <si>
    <t xml:space="preserve">KEFER JUNIOR MUNGAI</t>
  </si>
  <si>
    <t xml:space="preserve">PWA2420</t>
  </si>
  <si>
    <t xml:space="preserve">AMILLIA CHAO MARTIN</t>
  </si>
  <si>
    <t xml:space="preserve">PWA2421</t>
  </si>
  <si>
    <t xml:space="preserve">ABEL MAINA</t>
  </si>
  <si>
    <t xml:space="preserve">PWA2422</t>
  </si>
  <si>
    <t xml:space="preserve">RYAN MBUGUA MUCHEMI</t>
  </si>
  <si>
    <t xml:space="preserve">PWA2425</t>
  </si>
  <si>
    <t xml:space="preserve">RYAN NGANGA</t>
  </si>
  <si>
    <t xml:space="preserve">PWA2429</t>
  </si>
  <si>
    <t xml:space="preserve">MOR MICH</t>
  </si>
  <si>
    <t xml:space="preserve">PWA2430</t>
  </si>
  <si>
    <t xml:space="preserve">KEYSHA WAITHIRA MURAGE</t>
  </si>
  <si>
    <t xml:space="preserve">PWA2434</t>
  </si>
  <si>
    <t xml:space="preserve">TREVIER JONES ATAI</t>
  </si>
  <si>
    <t xml:space="preserve">PWA2435</t>
  </si>
  <si>
    <t xml:space="preserve">JESSE JAYDEN WAGURA</t>
  </si>
  <si>
    <t xml:space="preserve">GRADE 5</t>
  </si>
  <si>
    <t xml:space="preserve">PWA2436</t>
  </si>
  <si>
    <t xml:space="preserve">PETER JULIAN MUCHUCHE</t>
  </si>
  <si>
    <t xml:space="preserve">PWA2439</t>
  </si>
  <si>
    <t xml:space="preserve">DYLAN BRUCE</t>
  </si>
  <si>
    <t xml:space="preserve">PWA2440</t>
  </si>
  <si>
    <t xml:space="preserve">LARVIN MUGAMBI</t>
  </si>
  <si>
    <t xml:space="preserve">PWA2442</t>
  </si>
  <si>
    <t xml:space="preserve">DWAYNE CHEGE</t>
  </si>
  <si>
    <t xml:space="preserve">PWA2445</t>
  </si>
  <si>
    <t xml:space="preserve">LETICIA GACHAMBI</t>
  </si>
  <si>
    <t xml:space="preserve">PWA2446</t>
  </si>
  <si>
    <t xml:space="preserve">JOY GATHOGO NDANU</t>
  </si>
  <si>
    <t xml:space="preserve">PWA2448</t>
  </si>
  <si>
    <t xml:space="preserve">JASMIN WAFULA</t>
  </si>
  <si>
    <t xml:space="preserve">PWA2451</t>
  </si>
  <si>
    <t xml:space="preserve">MELVIN CRUIZE</t>
  </si>
  <si>
    <t xml:space="preserve">PWA2452</t>
  </si>
  <si>
    <t xml:space="preserve">PRECIOUS KERUBO OSINDI</t>
  </si>
  <si>
    <t xml:space="preserve">PWA2453</t>
  </si>
  <si>
    <t xml:space="preserve">LIAM LOSHAMI</t>
  </si>
  <si>
    <t xml:space="preserve">PWA2454</t>
  </si>
  <si>
    <t xml:space="preserve">ETHAN KITONGA</t>
  </si>
  <si>
    <t xml:space="preserve">PWA2456</t>
  </si>
  <si>
    <t xml:space="preserve">AZRIEL LUYALI SITATI</t>
  </si>
  <si>
    <t xml:space="preserve">PWA2459</t>
  </si>
  <si>
    <t xml:space="preserve">JOY JELAGAT BETT</t>
  </si>
  <si>
    <t xml:space="preserve">PWA2460</t>
  </si>
  <si>
    <t xml:space="preserve">MISHAEL  NGELENZI SAMASON</t>
  </si>
  <si>
    <t xml:space="preserve">PWA2462</t>
  </si>
  <si>
    <t xml:space="preserve">WASHINGTON SHAMELA</t>
  </si>
  <si>
    <t xml:space="preserve">PWA2463</t>
  </si>
  <si>
    <t xml:space="preserve">IMAN  RACHAEL KERUBO</t>
  </si>
  <si>
    <t xml:space="preserve">PWA2464</t>
  </si>
  <si>
    <t xml:space="preserve">LAINIEY NYAKONYO</t>
  </si>
  <si>
    <t xml:space="preserve">PWA2466</t>
  </si>
  <si>
    <t xml:space="preserve">ESTHER WAITHERERO</t>
  </si>
  <si>
    <t xml:space="preserve">PWA2468</t>
  </si>
  <si>
    <t xml:space="preserve">ANAYA MUTHONI MWANGI</t>
  </si>
  <si>
    <t xml:space="preserve">PWA2469</t>
  </si>
  <si>
    <t xml:space="preserve">CARLTON LISECHE MUNIKA</t>
  </si>
  <si>
    <t xml:space="preserve">PWA2472</t>
  </si>
  <si>
    <t xml:space="preserve">LEON WAITITU</t>
  </si>
  <si>
    <t xml:space="preserve">PWA2473</t>
  </si>
  <si>
    <t xml:space="preserve">MONICA SHALINE WANJIRU</t>
  </si>
  <si>
    <t xml:space="preserve">PWA2475</t>
  </si>
  <si>
    <t xml:space="preserve">PETER AYORO OKELLO</t>
  </si>
  <si>
    <t xml:space="preserve">PWA2479</t>
  </si>
  <si>
    <t xml:space="preserve">HANIEL NJUGUNA</t>
  </si>
  <si>
    <t xml:space="preserve">PWA2481</t>
  </si>
  <si>
    <t xml:space="preserve">TERRYANN MUKAI</t>
  </si>
  <si>
    <t xml:space="preserve">PWA2482</t>
  </si>
  <si>
    <t xml:space="preserve">MICHELLE MURINGI NDERITU</t>
  </si>
  <si>
    <t xml:space="preserve">PWA2484</t>
  </si>
  <si>
    <t xml:space="preserve">SLOAN WANJIKU KIMANTHI</t>
  </si>
  <si>
    <t xml:space="preserve">PWA2487</t>
  </si>
  <si>
    <t xml:space="preserve">LESLEY NJOKI WAIGANJOH</t>
  </si>
  <si>
    <t xml:space="preserve">PWA2490</t>
  </si>
  <si>
    <t xml:space="preserve">EDNA NJOKI</t>
  </si>
  <si>
    <t xml:space="preserve">PWA2491</t>
  </si>
  <si>
    <t xml:space="preserve">MARY WAMBUI GATERU</t>
  </si>
  <si>
    <t xml:space="preserve">PWA2494</t>
  </si>
  <si>
    <t xml:space="preserve">SARAH JOLIE VUGASU MISE</t>
  </si>
  <si>
    <t xml:space="preserve">PWA2502</t>
  </si>
  <si>
    <t xml:space="preserve">IMAN NYOKABI</t>
  </si>
  <si>
    <t xml:space="preserve">GRADE 4</t>
  </si>
  <si>
    <t xml:space="preserve">PWA2503</t>
  </si>
  <si>
    <t xml:space="preserve">PRECIOUS WARUINU</t>
  </si>
  <si>
    <t xml:space="preserve">PWA2504</t>
  </si>
  <si>
    <t xml:space="preserve">GRACE WAKIO</t>
  </si>
  <si>
    <t xml:space="preserve">PWA2505</t>
  </si>
  <si>
    <t xml:space="preserve">MARGRET WANGUI MUNGAI</t>
  </si>
  <si>
    <t xml:space="preserve">PWA2506</t>
  </si>
  <si>
    <t xml:space="preserve">ASHLEY SHERLYNE OUMA</t>
  </si>
  <si>
    <t xml:space="preserve">PWA2507</t>
  </si>
  <si>
    <t xml:space="preserve">NATALIE NAMISOH SIKUKU</t>
  </si>
  <si>
    <t xml:space="preserve">PWA2508</t>
  </si>
  <si>
    <t xml:space="preserve">RUBY NYAKIO MUGO</t>
  </si>
  <si>
    <t xml:space="preserve">PWA2510</t>
  </si>
  <si>
    <t xml:space="preserve">SAMMY EDWARD KIMERIA</t>
  </si>
  <si>
    <t xml:space="preserve">PWA2512</t>
  </si>
  <si>
    <t xml:space="preserve">ISRAEL RAPHAEL WACHIRA</t>
  </si>
  <si>
    <t xml:space="preserve">PWA2514</t>
  </si>
  <si>
    <t xml:space="preserve">JOHANNES WADENYA ODULA</t>
  </si>
  <si>
    <t xml:space="preserve">PWA2515</t>
  </si>
  <si>
    <t xml:space="preserve">EMMANUEL ELLY</t>
  </si>
  <si>
    <t xml:space="preserve">PWA2517</t>
  </si>
  <si>
    <t xml:space="preserve">CHRIS JEREMY NDANI KIUNDU</t>
  </si>
  <si>
    <t xml:space="preserve">PWA2518</t>
  </si>
  <si>
    <t xml:space="preserve">TIFANNY WANJERI WARUI</t>
  </si>
  <si>
    <t xml:space="preserve">PWA2519</t>
  </si>
  <si>
    <t xml:space="preserve">DAMIAN MUNENE MUTHUURI</t>
  </si>
  <si>
    <t xml:space="preserve">PWA2520</t>
  </si>
  <si>
    <t xml:space="preserve">NATHAN SILA MAINGI</t>
  </si>
  <si>
    <t xml:space="preserve">PWA2521</t>
  </si>
  <si>
    <t xml:space="preserve">WANJIRU MBOGO</t>
  </si>
  <si>
    <t xml:space="preserve">PWA2524</t>
  </si>
  <si>
    <t xml:space="preserve">TRIZA WANJA MAINA</t>
  </si>
  <si>
    <t xml:space="preserve">PWA2525</t>
  </si>
  <si>
    <t xml:space="preserve">PRECIOUS NEEMA KYUTHI</t>
  </si>
  <si>
    <t xml:space="preserve">PWA2526</t>
  </si>
  <si>
    <t xml:space="preserve">TASHA KATHOMI</t>
  </si>
  <si>
    <t xml:space="preserve">PWA2527</t>
  </si>
  <si>
    <t xml:space="preserve">TIFFANY MWIHAKI KINYANJUI</t>
  </si>
  <si>
    <t xml:space="preserve">PWA2528</t>
  </si>
  <si>
    <t xml:space="preserve">GEBRIELLE NAKHUMICHA</t>
  </si>
  <si>
    <t xml:space="preserve">PWA2529</t>
  </si>
  <si>
    <t xml:space="preserve">PRINCE WACHIRA</t>
  </si>
  <si>
    <t xml:space="preserve">PWA2530</t>
  </si>
  <si>
    <t xml:space="preserve">SYMON WAMBU</t>
  </si>
  <si>
    <t xml:space="preserve">PWA2531</t>
  </si>
  <si>
    <t xml:space="preserve">JULIAN MUSONYE MBEHI</t>
  </si>
  <si>
    <t xml:space="preserve">PWA2532</t>
  </si>
  <si>
    <t xml:space="preserve">JAYDEN KAMANU</t>
  </si>
  <si>
    <t xml:space="preserve">PWA2533</t>
  </si>
  <si>
    <t xml:space="preserve">FRANCIS REIGNS INDIAKAH</t>
  </si>
  <si>
    <t xml:space="preserve">PWA2534</t>
  </si>
  <si>
    <t xml:space="preserve">FABIAN KIPTOO</t>
  </si>
  <si>
    <t xml:space="preserve">PWA2535</t>
  </si>
  <si>
    <t xml:space="preserve">AUSTINE KYULE MUASYA</t>
  </si>
  <si>
    <t xml:space="preserve">PWA2538</t>
  </si>
  <si>
    <t xml:space="preserve">BRANICE WANJIKU RICHARD</t>
  </si>
  <si>
    <t xml:space="preserve">PWA2539</t>
  </si>
  <si>
    <t xml:space="preserve">NOBEL ASENA</t>
  </si>
  <si>
    <t xml:space="preserve">PWA2540</t>
  </si>
  <si>
    <t xml:space="preserve">JEREMY KIPCHUMBA KOROS</t>
  </si>
  <si>
    <t xml:space="preserve">PWA2542</t>
  </si>
  <si>
    <t xml:space="preserve">JABEZ MCHENYA</t>
  </si>
  <si>
    <t xml:space="preserve">PWA2544</t>
  </si>
  <si>
    <t xml:space="preserve">ELSIE WANJIKU KARIUKI</t>
  </si>
  <si>
    <t xml:space="preserve">PWA2548</t>
  </si>
  <si>
    <t xml:space="preserve">CLAIRE WAITHERA GICHUHI</t>
  </si>
  <si>
    <t xml:space="preserve">PWA2551</t>
  </si>
  <si>
    <t xml:space="preserve">CINDY WAMBUI</t>
  </si>
  <si>
    <t xml:space="preserve">PWA2552</t>
  </si>
  <si>
    <t xml:space="preserve">SHANICE WANJIRU MACHARIA</t>
  </si>
  <si>
    <t xml:space="preserve">PWA2553</t>
  </si>
  <si>
    <t xml:space="preserve">BLESSING FAVOUR MOGESI</t>
  </si>
  <si>
    <t xml:space="preserve">PWA2555</t>
  </si>
  <si>
    <t xml:space="preserve">MAXWELL ESAIH KERONGO</t>
  </si>
  <si>
    <t xml:space="preserve">PWA2559</t>
  </si>
  <si>
    <t xml:space="preserve">DYLAN WAITITU</t>
  </si>
  <si>
    <t xml:space="preserve">PWA2560</t>
  </si>
  <si>
    <t xml:space="preserve">HAWI MACHARIA</t>
  </si>
  <si>
    <t xml:space="preserve">PWA2561</t>
  </si>
  <si>
    <t xml:space="preserve">COLLINS KIBURI</t>
  </si>
  <si>
    <t xml:space="preserve">PWA2563</t>
  </si>
  <si>
    <t xml:space="preserve">AUSTINE MUSILI</t>
  </si>
  <si>
    <t xml:space="preserve">PWA2564</t>
  </si>
  <si>
    <t xml:space="preserve">BRANDON MUCHOKI</t>
  </si>
  <si>
    <t xml:space="preserve">PWA2568</t>
  </si>
  <si>
    <t xml:space="preserve">TYRON KIARIE</t>
  </si>
  <si>
    <t xml:space="preserve">PWA2569</t>
  </si>
  <si>
    <t xml:space="preserve">FIDEL CHERUIYOT</t>
  </si>
  <si>
    <t xml:space="preserve">GRADE 3</t>
  </si>
  <si>
    <t xml:space="preserve">PWA2570</t>
  </si>
  <si>
    <t xml:space="preserve">JOYSASHA KAINZA</t>
  </si>
  <si>
    <t xml:space="preserve">PWA2571</t>
  </si>
  <si>
    <t xml:space="preserve">PRECIOUS JOY NYAWIRA</t>
  </si>
  <si>
    <t xml:space="preserve">PWA2572</t>
  </si>
  <si>
    <t xml:space="preserve">LINDSEY CHEPTOO</t>
  </si>
  <si>
    <t xml:space="preserve">PWA2573</t>
  </si>
  <si>
    <t xml:space="preserve">ROSETTE SUE WAMBUI</t>
  </si>
  <si>
    <t xml:space="preserve">PWA2577</t>
  </si>
  <si>
    <t xml:space="preserve">ANDREW MYLES ODHIAMBO</t>
  </si>
  <si>
    <t xml:space="preserve">PWA2578</t>
  </si>
  <si>
    <t xml:space="preserve">HENOK DAVID MEKURIA</t>
  </si>
  <si>
    <t xml:space="preserve">PWA2605</t>
  </si>
  <si>
    <t xml:space="preserve">ALEXIS WANGUI</t>
  </si>
  <si>
    <t xml:space="preserve">PWA2606</t>
  </si>
  <si>
    <t xml:space="preserve">BRIANNAH GIVENS MUNIKA</t>
  </si>
  <si>
    <t xml:space="preserve">PWA2607</t>
  </si>
  <si>
    <t xml:space="preserve">HILDA WALI THUKU</t>
  </si>
  <si>
    <t xml:space="preserve">PWA2608</t>
  </si>
  <si>
    <t xml:space="preserve">CHRISTINE WAMBUI</t>
  </si>
  <si>
    <t xml:space="preserve">PWA2612</t>
  </si>
  <si>
    <t xml:space="preserve">TANEESHA KERUBO OSORO</t>
  </si>
  <si>
    <t xml:space="preserve">PWA2614</t>
  </si>
  <si>
    <t xml:space="preserve">TIFFANY MUTHONI</t>
  </si>
  <si>
    <t xml:space="preserve">PWA2618</t>
  </si>
  <si>
    <t xml:space="preserve">BRYSON MOTENDE ATENGA</t>
  </si>
  <si>
    <t xml:space="preserve">PWA2621</t>
  </si>
  <si>
    <t xml:space="preserve">PRESLEY KURIA NJOGU</t>
  </si>
  <si>
    <t xml:space="preserve">PWA2622</t>
  </si>
  <si>
    <t xml:space="preserve">ALLEN NJAGI NJOGU</t>
  </si>
  <si>
    <t xml:space="preserve">PWA2623</t>
  </si>
  <si>
    <t xml:space="preserve">TIJAN KAINGU MASHA</t>
  </si>
  <si>
    <t xml:space="preserve">PWA2624</t>
  </si>
  <si>
    <t xml:space="preserve">MICHAEL MWEMA MUTAHI</t>
  </si>
  <si>
    <t xml:space="preserve">PWA2625</t>
  </si>
  <si>
    <t xml:space="preserve">JULIE MUTITU MUGAMBI</t>
  </si>
  <si>
    <t xml:space="preserve">PWA2581</t>
  </si>
  <si>
    <t xml:space="preserve">EMANI MURUGI</t>
  </si>
  <si>
    <t xml:space="preserve">PWA2583</t>
  </si>
  <si>
    <t xml:space="preserve">LISA WAIRIMU WANJIKU</t>
  </si>
  <si>
    <t xml:space="preserve">PWA2584</t>
  </si>
  <si>
    <t xml:space="preserve">MAURICE MACOTU ODULA</t>
  </si>
  <si>
    <t xml:space="preserve">PWA2587</t>
  </si>
  <si>
    <t xml:space="preserve">STEPHANIE WAMBUI MICINO</t>
  </si>
  <si>
    <t xml:space="preserve">PWA2590</t>
  </si>
  <si>
    <t xml:space="preserve">ESTHER NJOKI</t>
  </si>
  <si>
    <t xml:space="preserve">PWA2591</t>
  </si>
  <si>
    <t xml:space="preserve">KAI NJUGUNA</t>
  </si>
  <si>
    <t xml:space="preserve">PWA2596</t>
  </si>
  <si>
    <t xml:space="preserve">LEON NYANGE KIVEU</t>
  </si>
  <si>
    <t xml:space="preserve">PWA2597</t>
  </si>
  <si>
    <t xml:space="preserve">BLESSING KOOME</t>
  </si>
  <si>
    <t xml:space="preserve">PWA2598</t>
  </si>
  <si>
    <t xml:space="preserve">CALEB JUMA KIPKORIR</t>
  </si>
  <si>
    <t xml:space="preserve">PWA2601</t>
  </si>
  <si>
    <t xml:space="preserve">MAYA TAMARA</t>
  </si>
  <si>
    <t xml:space="preserve">GRADE 2</t>
  </si>
  <si>
    <t xml:space="preserve">PWA2629</t>
  </si>
  <si>
    <t xml:space="preserve">ADRIAN AMBANI</t>
  </si>
  <si>
    <t xml:space="preserve">PWA2631</t>
  </si>
  <si>
    <t xml:space="preserve">SHANICE NJERI MUHOHO</t>
  </si>
  <si>
    <t xml:space="preserve">PWA2632</t>
  </si>
  <si>
    <t xml:space="preserve">EVLOGIA KATUNGE KASYOKI</t>
  </si>
  <si>
    <t xml:space="preserve">PWA2637</t>
  </si>
  <si>
    <t xml:space="preserve">VICTORIA SHANICE  WAIRIMU</t>
  </si>
  <si>
    <t xml:space="preserve">PWA2639</t>
  </si>
  <si>
    <t xml:space="preserve">LIAM LEVI MWENDA</t>
  </si>
  <si>
    <t xml:space="preserve">PWA2640</t>
  </si>
  <si>
    <t xml:space="preserve">GIAN LUKOSI SITATI</t>
  </si>
  <si>
    <t xml:space="preserve">PWA2641</t>
  </si>
  <si>
    <t xml:space="preserve">NATHAN MUTAI</t>
  </si>
  <si>
    <t xml:space="preserve">PWA2643</t>
  </si>
  <si>
    <t xml:space="preserve">LIAM ONYANGO</t>
  </si>
  <si>
    <t xml:space="preserve">PWA2644</t>
  </si>
  <si>
    <t xml:space="preserve">PEACE MUNYIVA MBUVI</t>
  </si>
  <si>
    <t xml:space="preserve">PWA2645</t>
  </si>
  <si>
    <t xml:space="preserve">ADELA JEMUTAI</t>
  </si>
  <si>
    <t xml:space="preserve">PWA2646</t>
  </si>
  <si>
    <t xml:space="preserve">NOUREEN TZINDOLI</t>
  </si>
  <si>
    <t xml:space="preserve">PWA2647</t>
  </si>
  <si>
    <t xml:space="preserve">ALISHA FOUZIA MOGAKA</t>
  </si>
  <si>
    <t xml:space="preserve">PWA2648</t>
  </si>
  <si>
    <t xml:space="preserve">GABRIEL MUNENE</t>
  </si>
  <si>
    <t xml:space="preserve">PWA2649</t>
  </si>
  <si>
    <t xml:space="preserve">DEILON JABARI NJOGU</t>
  </si>
  <si>
    <t xml:space="preserve">PWA2651</t>
  </si>
  <si>
    <t xml:space="preserve">THEON XANDER KIDAMBALE</t>
  </si>
  <si>
    <t xml:space="preserve">PWA2681</t>
  </si>
  <si>
    <t xml:space="preserve">LIAM RACHUONYO OMONDI</t>
  </si>
  <si>
    <t xml:space="preserve">PWA2685</t>
  </si>
  <si>
    <t xml:space="preserve">ASHLEY JEPKOECH</t>
  </si>
  <si>
    <t xml:space="preserve">PWA2687</t>
  </si>
  <si>
    <t xml:space="preserve">TALIA WANJIRU</t>
  </si>
  <si>
    <t xml:space="preserve">PWA2690</t>
  </si>
  <si>
    <t xml:space="preserve">TIFFANY NYAMBURA KIRAGURI</t>
  </si>
  <si>
    <t xml:space="preserve">PWA2691</t>
  </si>
  <si>
    <t xml:space="preserve">YASMINE WANJIRU MAINA</t>
  </si>
  <si>
    <t xml:space="preserve">PWA2693</t>
  </si>
  <si>
    <t xml:space="preserve">CARL MUTAI GITONGA</t>
  </si>
  <si>
    <t xml:space="preserve">PWA2696</t>
  </si>
  <si>
    <t xml:space="preserve">GIANNA ANYOSO LIGAYA</t>
  </si>
  <si>
    <t xml:space="preserve">PWA2697</t>
  </si>
  <si>
    <t xml:space="preserve">SABIAN  HAKEEM OBUYA</t>
  </si>
  <si>
    <t xml:space="preserve">PWA2699</t>
  </si>
  <si>
    <t xml:space="preserve">RYAN MAINA</t>
  </si>
  <si>
    <t xml:space="preserve">PWA2700</t>
  </si>
  <si>
    <t xml:space="preserve">ETHAN ZION ADONIS NYAPERA</t>
  </si>
  <si>
    <t xml:space="preserve">PWA2701</t>
  </si>
  <si>
    <t xml:space="preserve">SHAWN BARASA</t>
  </si>
  <si>
    <t xml:space="preserve">PWA2702</t>
  </si>
  <si>
    <t xml:space="preserve">ANGEL MAKENA  MUMO</t>
  </si>
  <si>
    <t xml:space="preserve">PWA2703</t>
  </si>
  <si>
    <t xml:space="preserve">ETHAN MUIRURI KINYANJUI</t>
  </si>
  <si>
    <t xml:space="preserve">PWA2653</t>
  </si>
  <si>
    <t xml:space="preserve">LIAM CHEGE GITHUKU</t>
  </si>
  <si>
    <t xml:space="preserve">PWA2657</t>
  </si>
  <si>
    <t xml:space="preserve">CALEB KAMAU GACHINA</t>
  </si>
  <si>
    <t xml:space="preserve">PWA2658</t>
  </si>
  <si>
    <t xml:space="preserve">LIAM WACHIRA</t>
  </si>
  <si>
    <t xml:space="preserve">PWA2659</t>
  </si>
  <si>
    <t xml:space="preserve">LEMUEL MUNENE</t>
  </si>
  <si>
    <t xml:space="preserve">PWA2660</t>
  </si>
  <si>
    <t xml:space="preserve">JAYDEN ELONE MASAMBU</t>
  </si>
  <si>
    <t xml:space="preserve">PWA2664</t>
  </si>
  <si>
    <t xml:space="preserve">ABIGAIL CLAIRE WANGUI</t>
  </si>
  <si>
    <t xml:space="preserve">PWA2665</t>
  </si>
  <si>
    <t xml:space="preserve">SHERRYANNE WAMBURA</t>
  </si>
  <si>
    <t xml:space="preserve">PWA2667</t>
  </si>
  <si>
    <t xml:space="preserve">SKYLER WACHERA MWANGI</t>
  </si>
  <si>
    <t xml:space="preserve">PWA2668</t>
  </si>
  <si>
    <t xml:space="preserve">MARGRET DZIDZA MTANA</t>
  </si>
  <si>
    <t xml:space="preserve">PWA2669</t>
  </si>
  <si>
    <t xml:space="preserve">KIMBERLY NJERI NDUNGU</t>
  </si>
  <si>
    <t xml:space="preserve">PWA2670</t>
  </si>
  <si>
    <t xml:space="preserve">MILLICENT AOKO</t>
  </si>
  <si>
    <t xml:space="preserve">PWA2671</t>
  </si>
  <si>
    <t xml:space="preserve">SKYLER DZIDZA</t>
  </si>
  <si>
    <t xml:space="preserve">PWA2673</t>
  </si>
  <si>
    <t xml:space="preserve">BRITNEY ANDESO</t>
  </si>
  <si>
    <t xml:space="preserve">PWA2674</t>
  </si>
  <si>
    <t xml:space="preserve">ANGEL WAITHIRA</t>
  </si>
  <si>
    <t xml:space="preserve">PWA2675</t>
  </si>
  <si>
    <t xml:space="preserve">BRANTON MWENDWA</t>
  </si>
  <si>
    <t xml:space="preserve">PWA2676</t>
  </si>
  <si>
    <t xml:space="preserve">JASON KAMANDE</t>
  </si>
  <si>
    <t xml:space="preserve">PWA2706</t>
  </si>
  <si>
    <t xml:space="preserve">NILLAN KLEIN MWANIKI</t>
  </si>
  <si>
    <t xml:space="preserve">GRADE 1</t>
  </si>
  <si>
    <t xml:space="preserve">PWA2707</t>
  </si>
  <si>
    <t xml:space="preserve">ISRAEL DAVID MEKURIA</t>
  </si>
  <si>
    <t xml:space="preserve">PWA2708</t>
  </si>
  <si>
    <t xml:space="preserve">LYNNE NJOKI</t>
  </si>
  <si>
    <t xml:space="preserve">PWA2709</t>
  </si>
  <si>
    <t xml:space="preserve">PRAISE MORAA OSINDI</t>
  </si>
  <si>
    <t xml:space="preserve">PWA2710</t>
  </si>
  <si>
    <t xml:space="preserve">SCARLET  NDETO </t>
  </si>
  <si>
    <t xml:space="preserve">PWA2711</t>
  </si>
  <si>
    <t xml:space="preserve">JEWEL WANJIRU</t>
  </si>
  <si>
    <t xml:space="preserve">PWA2712</t>
  </si>
  <si>
    <t xml:space="preserve">BECKY WANJIKU KAIGI</t>
  </si>
  <si>
    <t xml:space="preserve">+254759582884/0727174691/0727179691</t>
  </si>
  <si>
    <t xml:space="preserve">PWA2714</t>
  </si>
  <si>
    <t xml:space="preserve">VANESSA CHERUTO</t>
  </si>
  <si>
    <t xml:space="preserve">PWA2716</t>
  </si>
  <si>
    <t xml:space="preserve">SUSAN PENDO MAKENA</t>
  </si>
  <si>
    <t xml:space="preserve">PWA2717</t>
  </si>
  <si>
    <t xml:space="preserve">AURELIA CHEPKOSKEI KOROS</t>
  </si>
  <si>
    <t xml:space="preserve">PWA2721</t>
  </si>
  <si>
    <t xml:space="preserve">NICOLE KERUBO</t>
  </si>
  <si>
    <t xml:space="preserve">PWA2722</t>
  </si>
  <si>
    <t xml:space="preserve">AMY WANGARI</t>
  </si>
  <si>
    <t xml:space="preserve">PWA2723</t>
  </si>
  <si>
    <t xml:space="preserve">ADRIELLE KETURAH</t>
  </si>
  <si>
    <t xml:space="preserve">PWA2725</t>
  </si>
  <si>
    <t xml:space="preserve">SHARON WAITHIRA</t>
  </si>
  <si>
    <t xml:space="preserve">PWA2726</t>
  </si>
  <si>
    <t xml:space="preserve">GIANNA MERKEL</t>
  </si>
  <si>
    <t xml:space="preserve">PWA2728</t>
  </si>
  <si>
    <t xml:space="preserve">JOSHUA KIRIMA GICHUHI</t>
  </si>
  <si>
    <t xml:space="preserve">PWA2730</t>
  </si>
  <si>
    <t xml:space="preserve">GEORGE KYLLIAN OMONDI</t>
  </si>
  <si>
    <t xml:space="preserve">PWA2731</t>
  </si>
  <si>
    <t xml:space="preserve">BILL MICHAEL ONGECH</t>
  </si>
  <si>
    <t xml:space="preserve">PWA2732</t>
  </si>
  <si>
    <t xml:space="preserve">DAVIS NGACHA MURIITHI</t>
  </si>
  <si>
    <t xml:space="preserve">PWA2736</t>
  </si>
  <si>
    <t xml:space="preserve">MYLES MUNENGE NGWIRI</t>
  </si>
  <si>
    <t xml:space="preserve">PWA2738</t>
  </si>
  <si>
    <t xml:space="preserve">LENNY GITHIGA WAIGANJOH</t>
  </si>
  <si>
    <t xml:space="preserve">PWA2739</t>
  </si>
  <si>
    <t xml:space="preserve">JAYDEN ELISHA</t>
  </si>
  <si>
    <t xml:space="preserve">PWA2740</t>
  </si>
  <si>
    <t xml:space="preserve">LIAM MUTHII</t>
  </si>
  <si>
    <t xml:space="preserve">PWA2742</t>
  </si>
  <si>
    <t xml:space="preserve">ELLEN MUTHONI WANJIRU</t>
  </si>
  <si>
    <t xml:space="preserve">PWA2744</t>
  </si>
  <si>
    <t xml:space="preserve">TRIZAH MAYA ODHIAMBO</t>
  </si>
  <si>
    <t xml:space="preserve">PWA2745</t>
  </si>
  <si>
    <t xml:space="preserve">EMMANUEL BRIAN ODHIAMBO</t>
  </si>
  <si>
    <t xml:space="preserve">PWA2746</t>
  </si>
  <si>
    <t xml:space="preserve">MISHAEL GITONGA GACHERU</t>
  </si>
  <si>
    <t xml:space="preserve">PWA/2747/</t>
  </si>
  <si>
    <t xml:space="preserve">LISA MUTHONI KAMAU</t>
  </si>
  <si>
    <t xml:space="preserve">0725699753/0728272094</t>
  </si>
  <si>
    <t xml:space="preserve">PWA/2749/</t>
  </si>
  <si>
    <t xml:space="preserve">ABEL WALUSE KIVEU</t>
  </si>
  <si>
    <t xml:space="preserve">0723384409/0704083682</t>
  </si>
  <si>
    <t xml:space="preserve">PWA/2750/</t>
  </si>
  <si>
    <t xml:space="preserve">BRADON WAITA KILONZO</t>
  </si>
  <si>
    <t xml:space="preserve">PP2</t>
  </si>
  <si>
    <t xml:space="preserve">0724370579/0713927232</t>
  </si>
  <si>
    <t xml:space="preserve">PWA/2751/</t>
  </si>
  <si>
    <t xml:space="preserve">ANDREA ATIENO SIGWE</t>
  </si>
  <si>
    <t xml:space="preserve">0726290827/0723247350</t>
  </si>
  <si>
    <t xml:space="preserve">PWA/2752/</t>
  </si>
  <si>
    <t xml:space="preserve">ADDAH WANJIRU SIGWE</t>
  </si>
  <si>
    <t xml:space="preserve">PWA/2753/</t>
  </si>
  <si>
    <t xml:space="preserve">ANGELICAH HERA</t>
  </si>
  <si>
    <t xml:space="preserve">0769713334/0728305344</t>
  </si>
  <si>
    <t xml:space="preserve">PWA/2754/</t>
  </si>
  <si>
    <t xml:space="preserve">DELVIN MAIKO MOSE</t>
  </si>
  <si>
    <t xml:space="preserve">0724883929/,0720488706</t>
  </si>
  <si>
    <t xml:space="preserve">PWA/2757/</t>
  </si>
  <si>
    <t xml:space="preserve">JABALI JAMAL OTIENO</t>
  </si>
  <si>
    <t xml:space="preserve">0713818368/0710312180</t>
  </si>
  <si>
    <t xml:space="preserve">PWA/2759/</t>
  </si>
  <si>
    <t xml:space="preserve">TIANA MUTANU MUEMA</t>
  </si>
  <si>
    <t xml:space="preserve">0724725062/0721745704</t>
  </si>
  <si>
    <t xml:space="preserve">PWA/2760/</t>
  </si>
  <si>
    <t xml:space="preserve">TREVOUR SAM MASAMBU</t>
  </si>
  <si>
    <t xml:space="preserve">0729164319/0716047723</t>
  </si>
  <si>
    <t xml:space="preserve">PWA/2761/</t>
  </si>
  <si>
    <t xml:space="preserve">JOHN NGIGI</t>
  </si>
  <si>
    <t xml:space="preserve">0721272037/0711237609</t>
  </si>
  <si>
    <t xml:space="preserve">PWA/2762/</t>
  </si>
  <si>
    <t xml:space="preserve">WILLIAMS MATTHEW JIRE</t>
  </si>
  <si>
    <t xml:space="preserve">PWA/2763/</t>
  </si>
  <si>
    <t xml:space="preserve">PRINCE HIRAM GITUTHU</t>
  </si>
  <si>
    <t xml:space="preserve">0721264256/0722923911</t>
  </si>
  <si>
    <t xml:space="preserve">PWA/2765/</t>
  </si>
  <si>
    <t xml:space="preserve">LEILA LUMAYO MISE</t>
  </si>
  <si>
    <t xml:space="preserve">0735118360/0720514523</t>
  </si>
  <si>
    <t xml:space="preserve">PWA/2766/</t>
  </si>
  <si>
    <t xml:space="preserve">NOAH STANLEY OSOGOL</t>
  </si>
  <si>
    <t xml:space="preserve">0722270920/0722901930</t>
  </si>
  <si>
    <t xml:space="preserve">PWA/2767/</t>
  </si>
  <si>
    <t xml:space="preserve">ELIJAH EMINAT OSOGOL</t>
  </si>
  <si>
    <t xml:space="preserve">PWA/2768/</t>
  </si>
  <si>
    <t xml:space="preserve">IAN WAMBUGU MAINA</t>
  </si>
  <si>
    <t xml:space="preserve">0702233075/0729552165</t>
  </si>
  <si>
    <t xml:space="preserve">PWA/2769/</t>
  </si>
  <si>
    <t xml:space="preserve">KAIDEN PAUL OGANDA</t>
  </si>
  <si>
    <t xml:space="preserve">0708954539/0707249133</t>
  </si>
  <si>
    <t xml:space="preserve">PWA/2770/</t>
  </si>
  <si>
    <t xml:space="preserve">RYAN KIMITI MUHUKO</t>
  </si>
  <si>
    <t xml:space="preserve">PWA/2771/</t>
  </si>
  <si>
    <t xml:space="preserve">BARAKA TORIA MUHUKO</t>
  </si>
  <si>
    <t xml:space="preserve">PWA/2772/</t>
  </si>
  <si>
    <t xml:space="preserve">BAYLY NYAMBURI MARTIN</t>
  </si>
  <si>
    <t xml:space="preserve">PWA/2773/</t>
  </si>
  <si>
    <t xml:space="preserve">JUDE NGURU</t>
  </si>
  <si>
    <t xml:space="preserve">0723729844/0751454091</t>
  </si>
  <si>
    <t xml:space="preserve">PWA/2775/</t>
  </si>
  <si>
    <t xml:space="preserve">JAYDEN NJUGUNA MWANGI</t>
  </si>
  <si>
    <t xml:space="preserve">PWA/2777/</t>
  </si>
  <si>
    <t xml:space="preserve">DESTINY WARUGURU KANG'ETHE</t>
  </si>
  <si>
    <t xml:space="preserve">0716179161/0712678411</t>
  </si>
  <si>
    <t xml:space="preserve">PWA/2780/</t>
  </si>
  <si>
    <t xml:space="preserve">ADRIAN KARIUKI THUO</t>
  </si>
  <si>
    <t xml:space="preserve">0701890826/0702285789</t>
  </si>
  <si>
    <t xml:space="preserve">PWA/2782/</t>
  </si>
  <si>
    <t xml:space="preserve">JONNIEVANS NG'ANG'A THUO</t>
  </si>
  <si>
    <t xml:space="preserve">PWA/2783/</t>
  </si>
  <si>
    <t xml:space="preserve">ETHAN KARIUKI NDUNG'U</t>
  </si>
  <si>
    <t xml:space="preserve">0724473796/0717704509</t>
  </si>
  <si>
    <t xml:space="preserve">PWA/2784/</t>
  </si>
  <si>
    <t xml:space="preserve">HAXLEY KAMAU NDUNG'U</t>
  </si>
  <si>
    <t xml:space="preserve">0717704509/0724473796</t>
  </si>
  <si>
    <t xml:space="preserve">PWA/2785/</t>
  </si>
  <si>
    <t xml:space="preserve">CLARA WANGARI NJENGA</t>
  </si>
  <si>
    <t xml:space="preserve">0721674401/0710775930</t>
  </si>
  <si>
    <t xml:space="preserve">PWA/2786/</t>
  </si>
  <si>
    <t xml:space="preserve">VINNY ROBINSON ARIKA</t>
  </si>
  <si>
    <t xml:space="preserve">0722532119/0720634859</t>
  </si>
  <si>
    <t xml:space="preserve">PWA/2787/</t>
  </si>
  <si>
    <t xml:space="preserve">MOSES WAKABA WANJOHI</t>
  </si>
  <si>
    <t xml:space="preserve">0727473221/0724794235</t>
  </si>
  <si>
    <t xml:space="preserve">PWA/2788/</t>
  </si>
  <si>
    <t xml:space="preserve">ABIGAEL NJAMBI WANJOHI</t>
  </si>
  <si>
    <t xml:space="preserve">0724794235/0727473221</t>
  </si>
  <si>
    <t xml:space="preserve">PWA/2790/</t>
  </si>
  <si>
    <t xml:space="preserve">LIEIGHTON THEODORE KIPKORIR</t>
  </si>
  <si>
    <t xml:space="preserve">0707057348/0719724046</t>
  </si>
  <si>
    <t xml:space="preserve">PWA/2791/</t>
  </si>
  <si>
    <t xml:space="preserve">SHERLYN QUEEN ALICE WANJIRU</t>
  </si>
  <si>
    <t xml:space="preserve">0701262625/0720644369</t>
  </si>
  <si>
    <t xml:space="preserve">PWA/2794/</t>
  </si>
  <si>
    <t xml:space="preserve">LAVINIA NYAMBURA MWANGI</t>
  </si>
  <si>
    <t xml:space="preserve">0723641674/0718556161</t>
  </si>
  <si>
    <t xml:space="preserve">PWA/2795/</t>
  </si>
  <si>
    <t xml:space="preserve">JAMES MATU MAINA</t>
  </si>
  <si>
    <t xml:space="preserve">0723122582/0712374791</t>
  </si>
  <si>
    <t xml:space="preserve">PWA/2796/</t>
  </si>
  <si>
    <t xml:space="preserve">MEGHAN KENDI MONGAI</t>
  </si>
  <si>
    <t xml:space="preserve">PWA/2797/</t>
  </si>
  <si>
    <t xml:space="preserve">ELIANA RAVOGA OVEYI</t>
  </si>
  <si>
    <t xml:space="preserve">0724176413/0718555980</t>
  </si>
  <si>
    <t xml:space="preserve">PWA/2798/</t>
  </si>
  <si>
    <t xml:space="preserve">ALYSSA NJERI MAINA</t>
  </si>
  <si>
    <t xml:space="preserve">0723991167/0722614909</t>
  </si>
  <si>
    <t xml:space="preserve">PWA/2799/</t>
  </si>
  <si>
    <t xml:space="preserve">ARIANA MUENI MBUVI</t>
  </si>
  <si>
    <t xml:space="preserve">0728502257/0714109551</t>
  </si>
  <si>
    <t xml:space="preserve">PWA/2800/</t>
  </si>
  <si>
    <t xml:space="preserve">KLAIRE BOSIBORI KONANA</t>
  </si>
  <si>
    <t xml:space="preserve">0729706797/0729417588</t>
  </si>
  <si>
    <t xml:space="preserve">PWA/2801/</t>
  </si>
  <si>
    <t xml:space="preserve">LAURA MUKAMI MURIITHI</t>
  </si>
  <si>
    <t xml:space="preserve">0700281990/0723936278</t>
  </si>
  <si>
    <t xml:space="preserve">PWA/2802/</t>
  </si>
  <si>
    <t xml:space="preserve">JESSE ALLEN NGARE</t>
  </si>
  <si>
    <t xml:space="preserve">07233500260/0741146428</t>
  </si>
  <si>
    <t xml:space="preserve">PWA/2804/</t>
  </si>
  <si>
    <t xml:space="preserve">LIAM ANDREWS MWANGI</t>
  </si>
  <si>
    <t xml:space="preserve">0725810405/0716850290</t>
  </si>
  <si>
    <t xml:space="preserve">PWA/2807/</t>
  </si>
  <si>
    <t xml:space="preserve">TAYANA BLESSING ATIENO</t>
  </si>
  <si>
    <t xml:space="preserve">0722451960/0721781942</t>
  </si>
  <si>
    <t xml:space="preserve">PWA/2808/</t>
  </si>
  <si>
    <t xml:space="preserve">MOLLYANN WEMA GATAKAA MUNYUA</t>
  </si>
  <si>
    <t xml:space="preserve">0725918918/0710299299</t>
  </si>
  <si>
    <t xml:space="preserve">PWA/2810/</t>
  </si>
  <si>
    <t xml:space="preserve">KYLE  YATOR BUNDOTICH</t>
  </si>
  <si>
    <t xml:space="preserve">0706043204/0795877113</t>
  </si>
  <si>
    <t xml:space="preserve">PWA/2811/</t>
  </si>
  <si>
    <t xml:space="preserve">MAXIMILLAN INYINGI</t>
  </si>
  <si>
    <t xml:space="preserve">0724508287/0714055248</t>
  </si>
  <si>
    <t xml:space="preserve">PWA/2815/</t>
  </si>
  <si>
    <t xml:space="preserve">NATALIA NYARANGI ONDERI</t>
  </si>
  <si>
    <t xml:space="preserve">0720369961/0725674114</t>
  </si>
  <si>
    <t xml:space="preserve">PWA/2816/</t>
  </si>
  <si>
    <t xml:space="preserve">NADIA NYAKERU ONDERI</t>
  </si>
  <si>
    <t xml:space="preserve">PWA/2817/</t>
  </si>
  <si>
    <t xml:space="preserve">NOEL DAVID RUGUNYA</t>
  </si>
  <si>
    <t xml:space="preserve">0721733177/0728499884</t>
  </si>
  <si>
    <t xml:space="preserve">PWA/2818/</t>
  </si>
  <si>
    <t xml:space="preserve">ALMA AMAN</t>
  </si>
  <si>
    <t xml:space="preserve">PWA/2820/</t>
  </si>
  <si>
    <t xml:space="preserve"> NANCY WARIDI OBIERO</t>
  </si>
  <si>
    <t xml:space="preserve">0715369410/0721866248</t>
  </si>
  <si>
    <t xml:space="preserve">PWA/2823/</t>
  </si>
  <si>
    <t xml:space="preserve">MAYLIN ATIENO ONYANGO</t>
  </si>
  <si>
    <t xml:space="preserve">0703636505/0727988280</t>
  </si>
  <si>
    <t xml:space="preserve">PWA/2824/</t>
  </si>
  <si>
    <t xml:space="preserve">ELSIE WANGU MACHARIA</t>
  </si>
  <si>
    <t xml:space="preserve">0723984355/0729291859</t>
  </si>
  <si>
    <t xml:space="preserve">PWA/2825/</t>
  </si>
  <si>
    <t xml:space="preserve">JAYDEN  MUIGAI MUNGAI</t>
  </si>
  <si>
    <t xml:space="preserve">0715049871/07238036</t>
  </si>
  <si>
    <t xml:space="preserve">PWA/2826/</t>
  </si>
  <si>
    <t xml:space="preserve">JAYDEN KIPROP KIPKOECH</t>
  </si>
  <si>
    <t xml:space="preserve">00724142865/0729669004</t>
  </si>
  <si>
    <t xml:space="preserve">PWA/2827/</t>
  </si>
  <si>
    <t xml:space="preserve">RIANNAH  WANGUI NDONGA</t>
  </si>
  <si>
    <t xml:space="preserve">0723296187/0722106438</t>
  </si>
  <si>
    <t xml:space="preserve">PWA/2828/</t>
  </si>
  <si>
    <t xml:space="preserve">MARIAH SHINANI MAENDE</t>
  </si>
  <si>
    <t xml:space="preserve">0713312717/0714555118</t>
  </si>
  <si>
    <t xml:space="preserve">PWA/2829/</t>
  </si>
  <si>
    <t xml:space="preserve">ESSY WANJUGU KURIA</t>
  </si>
  <si>
    <t xml:space="preserve">PWA/2830/</t>
  </si>
  <si>
    <t xml:space="preserve">NICHOLAS GITAU WANGUI</t>
  </si>
  <si>
    <t xml:space="preserve">PWA/2832/</t>
  </si>
  <si>
    <t xml:space="preserve">STEPHANIE MUMBE WAMBUA</t>
  </si>
  <si>
    <t xml:space="preserve">0705309571/0794205973</t>
  </si>
  <si>
    <t xml:space="preserve">PWA/2833/</t>
  </si>
  <si>
    <t xml:space="preserve">BRANSON KAMAU MAINA</t>
  </si>
  <si>
    <t xml:space="preserve">0703175284/0708479765</t>
  </si>
  <si>
    <t xml:space="preserve">PWA/2837/</t>
  </si>
  <si>
    <t xml:space="preserve">PRINCE ARTHUR KEVIN</t>
  </si>
  <si>
    <t xml:space="preserve">0741418811/0715847830</t>
  </si>
  <si>
    <t xml:space="preserve">PWA/2838/</t>
  </si>
  <si>
    <t xml:space="preserve">ETHAN AMANA NDISYA</t>
  </si>
  <si>
    <t xml:space="preserve">0724670795/0712687065</t>
  </si>
  <si>
    <t xml:space="preserve">PWA/2843/</t>
  </si>
  <si>
    <t xml:space="preserve">MAYANAH WANJIRU NDUNG'U</t>
  </si>
  <si>
    <t xml:space="preserve">0723522121/0720972661</t>
  </si>
  <si>
    <t xml:space="preserve">PWA/2844/</t>
  </si>
  <si>
    <t xml:space="preserve">ELSIE  NJERI MURIITHI</t>
  </si>
  <si>
    <t xml:space="preserve">0723024101/0711726742</t>
  </si>
  <si>
    <t xml:space="preserve">PWA/2845/</t>
  </si>
  <si>
    <t xml:space="preserve">TIANA WANGUI NJOROGE</t>
  </si>
  <si>
    <t xml:space="preserve">0722314116/0721510841</t>
  </si>
  <si>
    <t xml:space="preserve">PWA/2846/</t>
  </si>
  <si>
    <t xml:space="preserve">ADRIAN NELSON OMARI</t>
  </si>
  <si>
    <t xml:space="preserve">PWA/2848/</t>
  </si>
  <si>
    <t xml:space="preserve">VICTOR GACHIGUA MWAURA</t>
  </si>
  <si>
    <t xml:space="preserve">0721495881/0720264672</t>
  </si>
  <si>
    <t xml:space="preserve">PWA/2849/</t>
  </si>
  <si>
    <t xml:space="preserve">MARSHA MUSEO MUEMA</t>
  </si>
  <si>
    <t xml:space="preserve">PWA/2850/</t>
  </si>
  <si>
    <t xml:space="preserve">JUNE KELI MUEMA</t>
  </si>
  <si>
    <t xml:space="preserve">PWA/2851/</t>
  </si>
  <si>
    <t xml:space="preserve">HANIEL KENYATTA MALUKI</t>
  </si>
  <si>
    <t xml:space="preserve">0727306621/0724133481</t>
  </si>
  <si>
    <t xml:space="preserve">PWA/2852/</t>
  </si>
  <si>
    <t xml:space="preserve">NAILA WANJIKU NJOROGE</t>
  </si>
  <si>
    <t xml:space="preserve">0720542581/0716182355</t>
  </si>
  <si>
    <t xml:space="preserve">PWA/2854/</t>
  </si>
  <si>
    <t xml:space="preserve">LINDA BAHATI OBIERO</t>
  </si>
  <si>
    <t xml:space="preserve">0721866248/0715369410</t>
  </si>
  <si>
    <t xml:space="preserve">PWA/2856/</t>
  </si>
  <si>
    <t xml:space="preserve">ETHAN KINYUA MWENDA</t>
  </si>
  <si>
    <t xml:space="preserve">0711227663/0724353870</t>
  </si>
  <si>
    <t xml:space="preserve">PWA/2859/</t>
  </si>
  <si>
    <t xml:space="preserve">JOELJEREMY KAMAU KANGETHE</t>
  </si>
  <si>
    <t xml:space="preserve">0726545136/114021232</t>
  </si>
  <si>
    <t xml:space="preserve">PWA/2863/</t>
  </si>
  <si>
    <t xml:space="preserve">MUHORO KURIA</t>
  </si>
  <si>
    <t xml:space="preserve">0713489399/0713261761</t>
  </si>
  <si>
    <t xml:space="preserve">PWA/2865/</t>
  </si>
  <si>
    <t xml:space="preserve">PRECIOUS WANJIKU KOMU</t>
  </si>
  <si>
    <t xml:space="preserve">PWA/2869/</t>
  </si>
  <si>
    <t xml:space="preserve">KEITH WAWERU MBURU</t>
  </si>
  <si>
    <t xml:space="preserve">0720337461-0740693300</t>
  </si>
  <si>
    <t xml:space="preserve">PWA/2870/</t>
  </si>
  <si>
    <t xml:space="preserve">DARREL WASIKE WANJALA</t>
  </si>
  <si>
    <t xml:space="preserve">0700009304-0798643025</t>
  </si>
  <si>
    <t xml:space="preserve">PWA/2871/</t>
  </si>
  <si>
    <t xml:space="preserve">MADELYN NONI MBEHI</t>
  </si>
  <si>
    <t xml:space="preserve">0724833923-0706621953</t>
  </si>
  <si>
    <t xml:space="preserve">PWA/2872/</t>
  </si>
  <si>
    <t xml:space="preserve">TAMIA CHEBET KOECH</t>
  </si>
  <si>
    <t xml:space="preserve">0724142865-0729669004</t>
  </si>
  <si>
    <t xml:space="preserve">PWA/2873/</t>
  </si>
  <si>
    <t xml:space="preserve">TINSELY MUTHONI MWANGI</t>
  </si>
  <si>
    <t xml:space="preserve">0712032829-0700329344</t>
  </si>
  <si>
    <t xml:space="preserve">PWA/2874/</t>
  </si>
  <si>
    <t xml:space="preserve">BRAINARD MUNENE MAINA </t>
  </si>
  <si>
    <t xml:space="preserve">0703175284-0708479765</t>
  </si>
  <si>
    <t xml:space="preserve">PWA/2875/</t>
  </si>
  <si>
    <t xml:space="preserve">TASHELY WANGECHI  WARUI</t>
  </si>
  <si>
    <t xml:space="preserve">0707977597-0721675443</t>
  </si>
  <si>
    <t xml:space="preserve">PWA/2876/</t>
  </si>
  <si>
    <t xml:space="preserve">NATHAN MUTUGI MUKUNYA</t>
  </si>
  <si>
    <t xml:space="preserve">0726012097-0721134057</t>
  </si>
  <si>
    <t xml:space="preserve">PWA/2877/</t>
  </si>
  <si>
    <t xml:space="preserve">TANISHA WANJIKU MUHOHO</t>
  </si>
  <si>
    <t xml:space="preserve">0712609847-0711304313</t>
  </si>
  <si>
    <t xml:space="preserve">PWA/2879/</t>
  </si>
  <si>
    <t xml:space="preserve">ALPHA WENDO GATHOGO</t>
  </si>
  <si>
    <t xml:space="preserve">0712243808-0708758639</t>
  </si>
  <si>
    <t xml:space="preserve">PWA/2881/</t>
  </si>
  <si>
    <t xml:space="preserve">ETHAN MUSYOKI NDAU</t>
  </si>
  <si>
    <t xml:space="preserve">PWA/2882/</t>
  </si>
  <si>
    <t xml:space="preserve">EVANS MUOKI NDAU</t>
  </si>
  <si>
    <t xml:space="preserve">0707704620-0720913727</t>
  </si>
  <si>
    <t xml:space="preserve">PWA/2883/</t>
  </si>
  <si>
    <t xml:space="preserve">JOY EMELDER</t>
  </si>
  <si>
    <t xml:space="preserve">0725536747-0715209715</t>
  </si>
  <si>
    <t xml:space="preserve">PWA/2884/</t>
  </si>
  <si>
    <t xml:space="preserve">LENNOX GOODLUCK</t>
  </si>
  <si>
    <t xml:space="preserve">PWA/2885/</t>
  </si>
  <si>
    <t xml:space="preserve">ZANETA WEMA AFANDI WAFULA</t>
  </si>
  <si>
    <t xml:space="preserve">0720012499-0707506260</t>
  </si>
  <si>
    <t xml:space="preserve">PWA/2886/</t>
  </si>
  <si>
    <t xml:space="preserve">ERICK GRAHAMS OKOTH</t>
  </si>
  <si>
    <t xml:space="preserve">0714865175-0726230999</t>
  </si>
  <si>
    <t xml:space="preserve">PWA/2889/</t>
  </si>
  <si>
    <t xml:space="preserve">MAXWELL NYAGA MURAGURI</t>
  </si>
  <si>
    <t xml:space="preserve">0725992133-0707364625</t>
  </si>
  <si>
    <t xml:space="preserve">PWA/2890/</t>
  </si>
  <si>
    <t xml:space="preserve">JOAN WAMBUI CHEGE</t>
  </si>
  <si>
    <t xml:space="preserve">0728455328-0720272270</t>
  </si>
  <si>
    <t xml:space="preserve">PWA/2891/</t>
  </si>
  <si>
    <t xml:space="preserve">ALEXIA MMBONE SEMO</t>
  </si>
  <si>
    <t xml:space="preserve">0716869648-MAMA,RYMOND</t>
  </si>
  <si>
    <t xml:space="preserve">PWA/2892/</t>
  </si>
  <si>
    <t xml:space="preserve">ADRIAN LIAM SEMO</t>
  </si>
  <si>
    <t xml:space="preserve">PWA/2894/</t>
  </si>
  <si>
    <t xml:space="preserve">FIDELL NYABENDE NYACHIRO</t>
  </si>
  <si>
    <t xml:space="preserve">0723084022-0714124514</t>
  </si>
  <si>
    <t xml:space="preserve">PWA/2895/</t>
  </si>
  <si>
    <t xml:space="preserve">JESSE MAKORI NYACHIRO</t>
  </si>
  <si>
    <t xml:space="preserve">PWA/2896/</t>
  </si>
  <si>
    <t xml:space="preserve">NATANIA WAMBUI ETAAN</t>
  </si>
  <si>
    <t xml:space="preserve">0721363796-0713127875</t>
  </si>
  <si>
    <t xml:space="preserve">PWA/2898/</t>
  </si>
  <si>
    <t xml:space="preserve">PAUL MWENDWA KIOKO</t>
  </si>
  <si>
    <t xml:space="preserve">0721790180-0790975792</t>
  </si>
  <si>
    <t xml:space="preserve">PWA/2899/</t>
  </si>
  <si>
    <t xml:space="preserve">TIFFANY ROSE OKOTH</t>
  </si>
  <si>
    <t xml:space="preserve">PWA/2901/</t>
  </si>
  <si>
    <t xml:space="preserve">ANNROWENA WAMBUI NJERU</t>
  </si>
  <si>
    <t xml:space="preserve">PWA/2902/</t>
  </si>
  <si>
    <t xml:space="preserve">RONJUSTINE MUNENE NJERU</t>
  </si>
  <si>
    <t xml:space="preserve">PWA/2905/</t>
  </si>
  <si>
    <t xml:space="preserve">COLLINS MUTETHIA KARANI</t>
  </si>
  <si>
    <t xml:space="preserve">PWA/2906/</t>
  </si>
  <si>
    <t xml:space="preserve">ALLEN KYALO MULWA</t>
  </si>
  <si>
    <t xml:space="preserve">PWA/2908/</t>
  </si>
  <si>
    <t xml:space="preserve">SHANNEL NYAMBURA WACHIRA</t>
  </si>
  <si>
    <t xml:space="preserve">0721626385/0723242177</t>
  </si>
  <si>
    <t xml:space="preserve">PWA/2912/</t>
  </si>
  <si>
    <t xml:space="preserve">DEYSHAWN DUSTYIN NGANGA</t>
  </si>
  <si>
    <t xml:space="preserve">0722371402/0735308244/0723153167</t>
  </si>
  <si>
    <t xml:space="preserve">PWA/2914/</t>
  </si>
  <si>
    <t xml:space="preserve">PAUL MWADIME MBEKE</t>
  </si>
  <si>
    <t xml:space="preserve">0724099147,,0728477284</t>
  </si>
  <si>
    <t xml:space="preserve">PWA/2915/</t>
  </si>
  <si>
    <t xml:space="preserve">SAMUEL MAYNARD MACHARIA</t>
  </si>
  <si>
    <t xml:space="preserve">PP1</t>
  </si>
  <si>
    <t xml:space="preserve">0723936517/0714305791</t>
  </si>
  <si>
    <t xml:space="preserve">PWA/2916/</t>
  </si>
  <si>
    <t xml:space="preserve"> BEREKET MULU THOMAS</t>
  </si>
  <si>
    <t xml:space="preserve">PWA/2917/</t>
  </si>
  <si>
    <t xml:space="preserve">NEVID  REED</t>
  </si>
  <si>
    <t xml:space="preserve">KAHAWA,WENDANI</t>
  </si>
  <si>
    <t xml:space="preserve">PWA/2919/</t>
  </si>
  <si>
    <t xml:space="preserve">SEBASTIAN KIPNGETICH KOROS</t>
  </si>
  <si>
    <t xml:space="preserve">PWA/2920/</t>
  </si>
  <si>
    <t xml:space="preserve">ALVIN KIMANI MACHARIA</t>
  </si>
  <si>
    <t xml:space="preserve">PWA/2921/</t>
  </si>
  <si>
    <t xml:space="preserve">WEMAH MUTHONI MAINA</t>
  </si>
  <si>
    <t xml:space="preserve">PWA/2922/</t>
  </si>
  <si>
    <t xml:space="preserve">HAMISI FAROUQ KANDY</t>
  </si>
  <si>
    <t xml:space="preserve">PWA/2923/</t>
  </si>
  <si>
    <t xml:space="preserve">NAOMI WAMBUI KARIUKI</t>
  </si>
  <si>
    <t xml:space="preserve">PWA/2924/</t>
  </si>
  <si>
    <t xml:space="preserve">RAYNA AKINYI ONYANGO</t>
  </si>
  <si>
    <t xml:space="preserve">PWA/2925/</t>
  </si>
  <si>
    <t xml:space="preserve">MAXWELL MBURU MUCHUKU</t>
  </si>
  <si>
    <t xml:space="preserve">0725692667,,0708090353</t>
  </si>
  <si>
    <t xml:space="preserve">PWA/2926/</t>
  </si>
  <si>
    <t xml:space="preserve">TIFFANY MUTANU KAMETI</t>
  </si>
  <si>
    <t xml:space="preserve">PWA/2927/</t>
  </si>
  <si>
    <t xml:space="preserve">INNOCENT AMANI KAMETI</t>
  </si>
  <si>
    <t xml:space="preserve">PWA/2928/</t>
  </si>
  <si>
    <t xml:space="preserve">CARMI MULI NZILANI</t>
  </si>
  <si>
    <t xml:space="preserve">PWA/2929/</t>
  </si>
  <si>
    <t xml:space="preserve">ALVIN  NJOROGE GITAU</t>
  </si>
  <si>
    <t xml:space="preserve">PWA/2930/</t>
  </si>
  <si>
    <t xml:space="preserve">MISKY MUNIRA JAKONDO</t>
  </si>
  <si>
    <t xml:space="preserve">PWA/2934/</t>
  </si>
  <si>
    <t xml:space="preserve">JOE MANYARA NJUGUNA</t>
  </si>
  <si>
    <t xml:space="preserve">PWA/2935/</t>
  </si>
  <si>
    <t xml:space="preserve">PRECIOUS ESTHER WANJIKU NJOROGE</t>
  </si>
  <si>
    <t xml:space="preserve">PWA/2936/</t>
  </si>
  <si>
    <t xml:space="preserve">ELIANAH BREY MAGAK</t>
  </si>
  <si>
    <t xml:space="preserve">PWA/2937/</t>
  </si>
  <si>
    <t xml:space="preserve">DARMIEN MARTIAL OMULANDO</t>
  </si>
  <si>
    <t xml:space="preserve">PWA/2938/</t>
  </si>
  <si>
    <t xml:space="preserve">LYNNE KENDA ANGADIA</t>
  </si>
  <si>
    <t xml:space="preserve">PWA/2939/</t>
  </si>
  <si>
    <t xml:space="preserve">GRACE WANJIRU KINUTHIA</t>
  </si>
  <si>
    <t xml:space="preserve">PWA/2940/</t>
  </si>
  <si>
    <t xml:space="preserve">ANGEL NDANU</t>
  </si>
  <si>
    <t xml:space="preserve">PWA/2941/</t>
  </si>
  <si>
    <t xml:space="preserve">JAYDEN GATIMU</t>
  </si>
  <si>
    <t xml:space="preserve">PWA/2942/</t>
  </si>
  <si>
    <t xml:space="preserve">GLADYS WAIRIMU GIKONYO</t>
  </si>
  <si>
    <t xml:space="preserve">0723724035,,0740189428</t>
  </si>
  <si>
    <t xml:space="preserve">PWA/2943/</t>
  </si>
  <si>
    <t xml:space="preserve">GEORGE GIFT MUSAU NZUVE</t>
  </si>
  <si>
    <t xml:space="preserve">0715138509,,0712639730</t>
  </si>
  <si>
    <t xml:space="preserve">PWA/2944/</t>
  </si>
  <si>
    <t xml:space="preserve">PRINCESS-ARIA BOKE GICHERE</t>
  </si>
  <si>
    <t xml:space="preserve">0700582264,,0707966206</t>
  </si>
  <si>
    <t xml:space="preserve">PWA/2945/</t>
  </si>
  <si>
    <t xml:space="preserve">GIOVANNI KARL OMONDI</t>
  </si>
  <si>
    <t xml:space="preserve">0724733343,,0115474573</t>
  </si>
  <si>
    <t xml:space="preserve">PWA/2946/</t>
  </si>
  <si>
    <t xml:space="preserve">NICOLE NAISULA PARSMEI</t>
  </si>
  <si>
    <t xml:space="preserve">0700121984,,,0715241919</t>
  </si>
  <si>
    <t xml:space="preserve">PWA/2947/</t>
  </si>
  <si>
    <t xml:space="preserve">NATHAN NKOSHESHE PARSMEI</t>
  </si>
  <si>
    <t xml:space="preserve">PWA/2949/</t>
  </si>
  <si>
    <t xml:space="preserve">RYAN MICHAEL TENDAI</t>
  </si>
  <si>
    <t xml:space="preserve">PWA/2950/</t>
  </si>
  <si>
    <t xml:space="preserve">SUSAN WANGARI KAMAU</t>
  </si>
  <si>
    <t xml:space="preserve">0700543745,,0720481591</t>
  </si>
  <si>
    <t xml:space="preserve">PWA/2951/</t>
  </si>
  <si>
    <t xml:space="preserve">ITHIEL NYONGESA WABUSYA</t>
  </si>
  <si>
    <t xml:space="preserve">0724548734,,0720677542</t>
  </si>
  <si>
    <t xml:space="preserve">PWA/2952/</t>
  </si>
  <si>
    <t xml:space="preserve">HAKEEM NDAI NJOROGE </t>
  </si>
  <si>
    <t xml:space="preserve">0720542581,,0716182355</t>
  </si>
  <si>
    <t xml:space="preserve">PWA/2953/</t>
  </si>
  <si>
    <t xml:space="preserve">VICTORIA WANGUI NYOKABI</t>
  </si>
  <si>
    <t xml:space="preserve">0706519047,,0728151015</t>
  </si>
  <si>
    <t xml:space="preserve">PWA/2954/</t>
  </si>
  <si>
    <t xml:space="preserve">STEVE KIMANI NJUGUNA</t>
  </si>
  <si>
    <t xml:space="preserve">0743538828,,0721164187</t>
  </si>
  <si>
    <t xml:space="preserve">PWA/2955/</t>
  </si>
  <si>
    <t xml:space="preserve">TASHA WAIYEGO MWANGI</t>
  </si>
  <si>
    <t xml:space="preserve">0725097168,,0702486488</t>
  </si>
  <si>
    <t xml:space="preserve">PWA/2956/</t>
  </si>
  <si>
    <t xml:space="preserve">NETHAN MASIBO SIKUKU</t>
  </si>
  <si>
    <t xml:space="preserve">0722213901,,0729736806</t>
  </si>
  <si>
    <t xml:space="preserve">PWA/2957/</t>
  </si>
  <si>
    <t xml:space="preserve">BRIAN MAINA MURIUKI</t>
  </si>
  <si>
    <t xml:space="preserve">0700320059,,0745227994</t>
  </si>
  <si>
    <t xml:space="preserve">PWA/2958/</t>
  </si>
  <si>
    <t xml:space="preserve">INAARAH AMEERA SAMEER</t>
  </si>
  <si>
    <t xml:space="preserve">0707766185,,0719875891</t>
  </si>
  <si>
    <t xml:space="preserve">PWA/2959/</t>
  </si>
  <si>
    <t xml:space="preserve">WARREN MURITHI NJERU</t>
  </si>
  <si>
    <t xml:space="preserve">0728270162,,0721355643</t>
  </si>
  <si>
    <t xml:space="preserve">PWA/2960/</t>
  </si>
  <si>
    <t xml:space="preserve">RACHEL MAYA NJERU</t>
  </si>
  <si>
    <t xml:space="preserve">PWA/2961/</t>
  </si>
  <si>
    <t xml:space="preserve">NOLAN OLIVER OMUKBOA</t>
  </si>
  <si>
    <t xml:space="preserve">0727026520,,0704410672</t>
  </si>
  <si>
    <t xml:space="preserve">PWA/2962/</t>
  </si>
  <si>
    <t xml:space="preserve">NICOLE MUMO</t>
  </si>
  <si>
    <t xml:space="preserve">PWA/2963/</t>
  </si>
  <si>
    <t xml:space="preserve">VERONICA MUGURE MUTAHI</t>
  </si>
  <si>
    <t xml:space="preserve">0724465599,,0722712213</t>
  </si>
  <si>
    <t xml:space="preserve">PWA/2964/</t>
  </si>
  <si>
    <t xml:space="preserve">VICTORIA WAMBUI MUTAHI</t>
  </si>
  <si>
    <t xml:space="preserve">PWA/2965/</t>
  </si>
  <si>
    <t xml:space="preserve">MAX MORGAN  MAINA </t>
  </si>
  <si>
    <t xml:space="preserve">0702233075,,0729552165</t>
  </si>
  <si>
    <t xml:space="preserve">PWA/2966/</t>
  </si>
  <si>
    <t xml:space="preserve">GREEN IMANI MICHOMA</t>
  </si>
  <si>
    <t xml:space="preserve">0707300310,,0113691822</t>
  </si>
  <si>
    <t xml:space="preserve">PWA/2968/</t>
  </si>
  <si>
    <t xml:space="preserve">ANDREA WANJIRU GATHITU</t>
  </si>
  <si>
    <t xml:space="preserve">0723471654,,0715155348</t>
  </si>
  <si>
    <t xml:space="preserve">PWA/2969/</t>
  </si>
  <si>
    <t xml:space="preserve">ELLY MURIUKI</t>
  </si>
  <si>
    <t xml:space="preserve">0722332171,,0708524554</t>
  </si>
  <si>
    <t xml:space="preserve">PWA/2970/</t>
  </si>
  <si>
    <t xml:space="preserve">EVE NYAMBURA MUCHWE</t>
  </si>
  <si>
    <t xml:space="preserve">0724520012,,0725284564</t>
  </si>
  <si>
    <t xml:space="preserve">PWA/2974/</t>
  </si>
  <si>
    <t xml:space="preserve">SHANAYA WANJIRU MACHARIA</t>
  </si>
  <si>
    <t xml:space="preserve">0720206949,,0757444670</t>
  </si>
  <si>
    <t xml:space="preserve">PWA/2975/</t>
  </si>
  <si>
    <t xml:space="preserve">ADRIAN ODHIAMBO OCHIENG</t>
  </si>
  <si>
    <t xml:space="preserve">0704041142,,0718982056</t>
  </si>
  <si>
    <t xml:space="preserve">PWA/2978/</t>
  </si>
  <si>
    <t xml:space="preserve">ARTHUR LUUSA</t>
  </si>
  <si>
    <t xml:space="preserve">0711474530,,0722339078</t>
  </si>
  <si>
    <t xml:space="preserve">PWA/2979/</t>
  </si>
  <si>
    <t xml:space="preserve">VICTOR MWANGI THUKU</t>
  </si>
  <si>
    <t xml:space="preserve">0723542561,,0712928775</t>
  </si>
  <si>
    <t xml:space="preserve">PWA/2980/</t>
  </si>
  <si>
    <t xml:space="preserve">RYAN ORWA OTIENO</t>
  </si>
  <si>
    <t xml:space="preserve">0715125567,,0716792682</t>
  </si>
  <si>
    <t xml:space="preserve">PWA/2981/</t>
  </si>
  <si>
    <t xml:space="preserve">JOSHUA MAINA GACHINA</t>
  </si>
  <si>
    <t xml:space="preserve">0710260315,,0712296597</t>
  </si>
  <si>
    <t xml:space="preserve">PWA/2982/</t>
  </si>
  <si>
    <t xml:space="preserve">JULIET JANICE CHEBET</t>
  </si>
  <si>
    <t xml:space="preserve">0716852369,,0707801534</t>
  </si>
  <si>
    <t xml:space="preserve">PWA/2983/</t>
  </si>
  <si>
    <t xml:space="preserve">FRANCIS KARIUKI MAINA</t>
  </si>
  <si>
    <t xml:space="preserve">0725629902,,0726940123</t>
  </si>
  <si>
    <t xml:space="preserve">PWA/2984/</t>
  </si>
  <si>
    <t xml:space="preserve">SHANTEL WANJIRU MAINA</t>
  </si>
  <si>
    <t xml:space="preserve">PWA/2985/</t>
  </si>
  <si>
    <t xml:space="preserve">GERALD MOGAYA LISTER</t>
  </si>
  <si>
    <t xml:space="preserve">0726011538,,0727393519</t>
  </si>
  <si>
    <t xml:space="preserve">PWA/2986/</t>
  </si>
  <si>
    <t xml:space="preserve">TAMARA NYANGI LISTER</t>
  </si>
  <si>
    <t xml:space="preserve">PWA/2987/</t>
  </si>
  <si>
    <t xml:space="preserve">JAYDEN MWANGI GATIRI</t>
  </si>
  <si>
    <t xml:space="preserve">0720923582,,0723247146</t>
  </si>
  <si>
    <t xml:space="preserve">PWA/2989/</t>
  </si>
  <si>
    <t xml:space="preserve">BRIGHT VICTORIA</t>
  </si>
  <si>
    <t xml:space="preserve">0724866364,,0742675836,,0716442996</t>
  </si>
  <si>
    <t xml:space="preserve">PWA/2990/</t>
  </si>
  <si>
    <t xml:space="preserve">TASHA WAIRIMU WAWIRA</t>
  </si>
  <si>
    <t xml:space="preserve">0791235095,,0752650697</t>
  </si>
  <si>
    <t xml:space="preserve">PWA/2991/</t>
  </si>
  <si>
    <t xml:space="preserve">JOAN NDUKU NICHOLAS</t>
  </si>
  <si>
    <t xml:space="preserve">0724767116,,0727092204</t>
  </si>
  <si>
    <t xml:space="preserve">PWA/2993/</t>
  </si>
  <si>
    <t xml:space="preserve">VINCENT MUMO MUTINDA</t>
  </si>
  <si>
    <t xml:space="preserve">0711183711,,0719100882</t>
  </si>
  <si>
    <t xml:space="preserve">PWA/2994/</t>
  </si>
  <si>
    <t xml:space="preserve">HADYNPAUL WANYIKA WAMBUGU</t>
  </si>
  <si>
    <t xml:space="preserve">0729063214, 0728733076</t>
  </si>
  <si>
    <t xml:space="preserve">PWA/2995/</t>
  </si>
  <si>
    <t xml:space="preserve">JADEN MURIITHI MAINA</t>
  </si>
  <si>
    <t xml:space="preserve">0712374791,,0723122582</t>
  </si>
  <si>
    <t xml:space="preserve">PWA/2996/</t>
  </si>
  <si>
    <t xml:space="preserve">ABIGAEL KAGURE KAMAU</t>
  </si>
  <si>
    <t xml:space="preserve">0725699753,,0728272094</t>
  </si>
  <si>
    <t xml:space="preserve">PWA/2997/</t>
  </si>
  <si>
    <t xml:space="preserve">RYAN MICHAEL MUSONYE</t>
  </si>
  <si>
    <t xml:space="preserve">0714019699,,0711909980</t>
  </si>
  <si>
    <t xml:space="preserve">PWA/2998/</t>
  </si>
  <si>
    <t xml:space="preserve">STEPHANIE WAMBUI KAMAU</t>
  </si>
  <si>
    <t xml:space="preserve">PWA/2999/</t>
  </si>
  <si>
    <t xml:space="preserve">TAMIMA ADHIAMBO OKUKU</t>
  </si>
  <si>
    <t xml:space="preserve">0726719307,,0724635808</t>
  </si>
  <si>
    <t xml:space="preserve">PWA/3000/</t>
  </si>
  <si>
    <t xml:space="preserve">ISRAEL KINDA OKUKU</t>
  </si>
  <si>
    <t xml:space="preserve">PWA/3002/</t>
  </si>
  <si>
    <t xml:space="preserve">NATALIA MUNINI KYALO</t>
  </si>
  <si>
    <t xml:space="preserve">0729151807,,0728053351</t>
  </si>
  <si>
    <t xml:space="preserve">PWA/3003/</t>
  </si>
  <si>
    <t xml:space="preserve">EMMANUEL GITHUA KAMAU</t>
  </si>
  <si>
    <t xml:space="preserve">0725084619,,0790976955</t>
  </si>
  <si>
    <t xml:space="preserve">PWA/3004/</t>
  </si>
  <si>
    <t xml:space="preserve">DENZEL ADAMS MUGAMBI</t>
  </si>
  <si>
    <t xml:space="preserve">PWA/3005/</t>
  </si>
  <si>
    <t xml:space="preserve">LAVINE LIANA IMO</t>
  </si>
  <si>
    <t xml:space="preserve">0717984816,,0710122078</t>
  </si>
  <si>
    <t xml:space="preserve">PWA/3008/</t>
  </si>
  <si>
    <t xml:space="preserve">CHARLES MABIA LUKWA</t>
  </si>
  <si>
    <t xml:space="preserve">0723450622,,0721684699</t>
  </si>
  <si>
    <t xml:space="preserve">PWA/3010/</t>
  </si>
  <si>
    <t xml:space="preserve">LARISA ALMA OUMA</t>
  </si>
  <si>
    <t xml:space="preserve">0725217367,,0798644750</t>
  </si>
  <si>
    <t xml:space="preserve">PWA/3011/</t>
  </si>
  <si>
    <t xml:space="preserve">MYLLAN MURUGI MUTAI</t>
  </si>
  <si>
    <t xml:space="preserve">0724455653,,0724520229</t>
  </si>
  <si>
    <t xml:space="preserve">PWA/3012/</t>
  </si>
  <si>
    <t xml:space="preserve">ASHER BARAKA OSINYA</t>
  </si>
  <si>
    <t xml:space="preserve">0722328514,,0722558859,,0722328514</t>
  </si>
  <si>
    <t xml:space="preserve">PWA/3015/</t>
  </si>
  <si>
    <t xml:space="preserve">JAYSON NGOTHO KIRAGU</t>
  </si>
  <si>
    <t xml:space="preserve">0701710217,,0725790072</t>
  </si>
  <si>
    <t xml:space="preserve">PWA/3016/</t>
  </si>
  <si>
    <t xml:space="preserve">TERRY NJOKI GATIRI</t>
  </si>
  <si>
    <t xml:space="preserve">PWA/3017/</t>
  </si>
  <si>
    <t xml:space="preserve">JACKLINE MAKOKHA</t>
  </si>
  <si>
    <t xml:space="preserve">0718837653,,0748049124</t>
  </si>
  <si>
    <t xml:space="preserve">PWA/3018/</t>
  </si>
  <si>
    <t xml:space="preserve">PETERSON KIHIUHI  WANJOHI</t>
  </si>
  <si>
    <t xml:space="preserve">PWA/3021/</t>
  </si>
  <si>
    <t xml:space="preserve">AALIYAH WANJIRU CHEGE</t>
  </si>
  <si>
    <t xml:space="preserve">0722363451,,0707351192</t>
  </si>
  <si>
    <t xml:space="preserve">PWA/3022/</t>
  </si>
  <si>
    <t xml:space="preserve">ANDREW NJUGUNA NJAMBI</t>
  </si>
  <si>
    <t xml:space="preserve">PWA/3023/</t>
  </si>
  <si>
    <t xml:space="preserve">DIANA WAKARINDI MBUCHU</t>
  </si>
  <si>
    <t xml:space="preserve">0721485549,,0711125779</t>
  </si>
  <si>
    <t xml:space="preserve">PWA/3024/</t>
  </si>
  <si>
    <t xml:space="preserve">TEGAN MIRIGO MBUCHU</t>
  </si>
  <si>
    <t xml:space="preserve">PWA/3025/</t>
  </si>
  <si>
    <t xml:space="preserve">THALMA BENSON OROMO</t>
  </si>
  <si>
    <t xml:space="preserve">0719512320,,0723600598</t>
  </si>
  <si>
    <t xml:space="preserve">PWA/3026/</t>
  </si>
  <si>
    <t xml:space="preserve">LUCY WAMBUI</t>
  </si>
  <si>
    <t xml:space="preserve">0724420279,,0711521580</t>
  </si>
  <si>
    <t xml:space="preserve">PWA/3027/</t>
  </si>
  <si>
    <t xml:space="preserve">ACHAN DENG JUAC</t>
  </si>
  <si>
    <t xml:space="preserve">0729756423,,0705892903</t>
  </si>
  <si>
    <t xml:space="preserve">PWA/3028/</t>
  </si>
  <si>
    <t xml:space="preserve">ANGEAR DENG JUAC</t>
  </si>
  <si>
    <t xml:space="preserve">PWA/3030/</t>
  </si>
  <si>
    <t xml:space="preserve">GAEL BRYCE KARIUKI</t>
  </si>
  <si>
    <t xml:space="preserve">0717917601,,0745634026</t>
  </si>
  <si>
    <t xml:space="preserve">PWA/3031/</t>
  </si>
  <si>
    <t xml:space="preserve">REAGAN NDUNGU KAHURA </t>
  </si>
  <si>
    <t xml:space="preserve">0724471457,,0721541603,,0722736943,,0720749513</t>
  </si>
  <si>
    <t xml:space="preserve">PWA/3033/</t>
  </si>
  <si>
    <t xml:space="preserve">ABIGAEL MUTHONI WAWERU</t>
  </si>
  <si>
    <t xml:space="preserve">0711227627,,0702666620</t>
  </si>
  <si>
    <t xml:space="preserve">PWA/3034/</t>
  </si>
  <si>
    <t xml:space="preserve">GLADYS WAIRIMU GIKONYO </t>
  </si>
  <si>
    <t xml:space="preserve">PWA/3035/</t>
  </si>
  <si>
    <t xml:space="preserve">DECLAN ADAMS </t>
  </si>
  <si>
    <t xml:space="preserve">PWA/3036/</t>
  </si>
  <si>
    <t xml:space="preserve">GRANVILILE ONGOSI AMMO</t>
  </si>
  <si>
    <t xml:space="preserve">0710144032,,0724203456</t>
  </si>
  <si>
    <t xml:space="preserve">PWA/3037/</t>
  </si>
  <si>
    <t xml:space="preserve">AALIAH NATELA SIFUNA</t>
  </si>
  <si>
    <t xml:space="preserve">0707099496,,0714771927</t>
  </si>
  <si>
    <t xml:space="preserve">PWA/3038/</t>
  </si>
  <si>
    <t xml:space="preserve">VINSHEL KOTOME EDAPAL</t>
  </si>
  <si>
    <t xml:space="preserve">0726084285,,0724388879</t>
  </si>
  <si>
    <t xml:space="preserve">PWA/3039/</t>
  </si>
  <si>
    <t xml:space="preserve">OLIVIA WANJIRU CHEGE</t>
  </si>
  <si>
    <t xml:space="preserve">PWA/3040/</t>
  </si>
  <si>
    <t xml:space="preserve">JUSTINE  ECHWA EDAPAL</t>
  </si>
  <si>
    <t xml:space="preserve">0726085286,,0724388879</t>
  </si>
  <si>
    <t xml:space="preserve">PWA/3042/</t>
  </si>
  <si>
    <t xml:space="preserve">VICTOR MBAKA MUNGE</t>
  </si>
  <si>
    <t xml:space="preserve">0796857016,,0795671550</t>
  </si>
  <si>
    <t xml:space="preserve">PWA/3046/</t>
  </si>
  <si>
    <t xml:space="preserve">NATALIE JEBET SANG</t>
  </si>
  <si>
    <t xml:space="preserve">0722223172,,0711485561</t>
  </si>
  <si>
    <t xml:space="preserve">PWA/3047/</t>
  </si>
  <si>
    <t xml:space="preserve">PRINCE LIAM OKOTH</t>
  </si>
  <si>
    <t xml:space="preserve">0707362174,,0729894250,,0715659094</t>
  </si>
  <si>
    <t xml:space="preserve">PWA/3048/</t>
  </si>
  <si>
    <t xml:space="preserve">DYLAN BROWN OKOTH</t>
  </si>
  <si>
    <t xml:space="preserve">0729894250,,0715659094,(DAD0707362174)</t>
  </si>
  <si>
    <t xml:space="preserve">PWA/3049/</t>
  </si>
  <si>
    <t xml:space="preserve">CHRISTIAN LEE OKOTH</t>
  </si>
  <si>
    <t xml:space="preserve">PWA/3050/</t>
  </si>
  <si>
    <t xml:space="preserve">SAMANTHA WANJIRU KAMAU</t>
  </si>
  <si>
    <t xml:space="preserve">PWA/3051/</t>
  </si>
  <si>
    <t xml:space="preserve">LEWIS NJOGU </t>
  </si>
  <si>
    <t xml:space="preserve">0717418751,(0727578074-GRANPA)</t>
  </si>
  <si>
    <t xml:space="preserve">PWA/3052/</t>
  </si>
  <si>
    <t xml:space="preserve">DALTON HOPE GITAU</t>
  </si>
  <si>
    <t xml:space="preserve">PWA/3053/</t>
  </si>
  <si>
    <t xml:space="preserve">LESLEY WAIRIMU NJAU</t>
  </si>
  <si>
    <t xml:space="preserve">PWA/3054/</t>
  </si>
  <si>
    <t xml:space="preserve">LOUIS GLEN KAMANJA NJAU</t>
  </si>
  <si>
    <t xml:space="preserve">PWA/3055/</t>
  </si>
  <si>
    <t xml:space="preserve">ALEXIS SANCHEZ MAKOKHA</t>
  </si>
  <si>
    <t xml:space="preserve">PWA/3057/</t>
  </si>
  <si>
    <t xml:space="preserve">GIANNA WANJIRA MURIITHI</t>
  </si>
  <si>
    <t xml:space="preserve">0719299633,,0725718358</t>
  </si>
  <si>
    <t xml:space="preserve">PWA/3061/</t>
  </si>
  <si>
    <t xml:space="preserve">SAMUEL MULU</t>
  </si>
  <si>
    <t xml:space="preserve">0713681107,,0762263648</t>
  </si>
  <si>
    <t xml:space="preserve">PWA/3064/</t>
  </si>
  <si>
    <t xml:space="preserve">ALLAN MUTHOMI KIMATHI</t>
  </si>
  <si>
    <t xml:space="preserve">0727855469/0726903420</t>
  </si>
  <si>
    <t xml:space="preserve">PWA/3065/</t>
  </si>
  <si>
    <t xml:space="preserve">NOLAN MUNENE MUEMA</t>
  </si>
  <si>
    <t xml:space="preserve">0724725062/,0721745704</t>
  </si>
  <si>
    <t xml:space="preserve">PWA/3066/</t>
  </si>
  <si>
    <t xml:space="preserve">EPHRATH MUTANU MUENDO</t>
  </si>
  <si>
    <t xml:space="preserve">0710535628/,0713042918</t>
  </si>
  <si>
    <t xml:space="preserve">PWA/3067/</t>
  </si>
  <si>
    <t xml:space="preserve">AYESHA WANGUI KINUTHIA</t>
  </si>
  <si>
    <t xml:space="preserve">0723291682/,0728471515</t>
  </si>
  <si>
    <t xml:space="preserve">PWA/3068/</t>
  </si>
  <si>
    <t xml:space="preserve">NAVAL  HUMPHREY WACHIRA</t>
  </si>
  <si>
    <t xml:space="preserve">0728997726/,0724972034</t>
  </si>
  <si>
    <t xml:space="preserve">PWA/3069/</t>
  </si>
  <si>
    <t xml:space="preserve">PROMISE NEEMA MUSYOKA</t>
  </si>
  <si>
    <t xml:space="preserve">0715165560/,0702846431</t>
  </si>
  <si>
    <t xml:space="preserve">PWA/3070/</t>
  </si>
  <si>
    <t xml:space="preserve">ELLA ZURI MUUO</t>
  </si>
  <si>
    <t xml:space="preserve">0722142409/,0729735037</t>
  </si>
  <si>
    <t xml:space="preserve">PWA/3071/</t>
  </si>
  <si>
    <t xml:space="preserve">ETHAN MUNENE KIRIMI</t>
  </si>
  <si>
    <t xml:space="preserve">0726228344/,0729521255</t>
  </si>
  <si>
    <t xml:space="preserve">PWA/3072/</t>
  </si>
  <si>
    <t xml:space="preserve">RYAN MUGAMBI KIMATHI</t>
  </si>
  <si>
    <t xml:space="preserve">0726760866/,0720729036</t>
  </si>
  <si>
    <t xml:space="preserve">PWA/3073/</t>
  </si>
  <si>
    <t xml:space="preserve">TIFFANY MAYA WAMBUI</t>
  </si>
  <si>
    <t xml:space="preserve">0723156621/,0720643077</t>
  </si>
  <si>
    <t xml:space="preserve">PWA/3074/</t>
  </si>
  <si>
    <t xml:space="preserve">HARVILLE ONTWEKA METOBO</t>
  </si>
  <si>
    <t xml:space="preserve">0796199844/,0796198175</t>
  </si>
  <si>
    <t xml:space="preserve">PWA/3075/</t>
  </si>
  <si>
    <t xml:space="preserve">SIOBHAN NYANGWESO BOSIRE</t>
  </si>
  <si>
    <t xml:space="preserve">0707689310/0717923792</t>
  </si>
  <si>
    <t xml:space="preserve">PWA/3076/</t>
  </si>
  <si>
    <t xml:space="preserve">NABIL MIGIRO ONGOBO</t>
  </si>
  <si>
    <t xml:space="preserve">PWA/3077/</t>
  </si>
  <si>
    <t xml:space="preserve">ETHAN NJAGI MUGO</t>
  </si>
  <si>
    <t xml:space="preserve">0718211975/,0727220683</t>
  </si>
  <si>
    <t xml:space="preserve">PWA/3078/</t>
  </si>
  <si>
    <t xml:space="preserve">ELYANA WANGUI WAMBUGU</t>
  </si>
  <si>
    <t xml:space="preserve">0729063214/,0728733076</t>
  </si>
  <si>
    <t xml:space="preserve">PWA/3079/</t>
  </si>
  <si>
    <t xml:space="preserve">VICTOR DANIEL MUGAMBI NJAGI</t>
  </si>
  <si>
    <t xml:space="preserve">0724013364/,0754915561/,0720723768</t>
  </si>
  <si>
    <t xml:space="preserve">PWA/3080/</t>
  </si>
  <si>
    <t xml:space="preserve">EDI GICHUHI MBURU</t>
  </si>
  <si>
    <t xml:space="preserve">0720311223/,0719478453</t>
  </si>
  <si>
    <t xml:space="preserve">PWA/3081/</t>
  </si>
  <si>
    <t xml:space="preserve">ELAINE WAIRIMU KIRAGURI</t>
  </si>
  <si>
    <t xml:space="preserve">0714370901/,0723326656</t>
  </si>
  <si>
    <t xml:space="preserve">PWA/3082/</t>
  </si>
  <si>
    <t xml:space="preserve">VICTOR MBURU WANGAI</t>
  </si>
  <si>
    <t xml:space="preserve">0726955587/0700829136</t>
  </si>
  <si>
    <t xml:space="preserve">PWA/3083/</t>
  </si>
  <si>
    <t xml:space="preserve">DANIEL MBOGO KIMATHI</t>
  </si>
  <si>
    <t xml:space="preserve">0726760866/0720729036</t>
  </si>
  <si>
    <t xml:space="preserve">PWA/3084/</t>
  </si>
  <si>
    <t xml:space="preserve">NORMAN KIPLAGAT KIMELI</t>
  </si>
  <si>
    <t xml:space="preserve">0722244372/,0731759878</t>
  </si>
  <si>
    <t xml:space="preserve">PWA/3085/</t>
  </si>
  <si>
    <t xml:space="preserve">AUDREYANN BOSIRE ONGUBO</t>
  </si>
  <si>
    <t xml:space="preserve">0707689310/0717923792/0723436852</t>
  </si>
  <si>
    <t xml:space="preserve">PWA/3086/</t>
  </si>
  <si>
    <t xml:space="preserve">AYDEN MICHAEL ORTABIL</t>
  </si>
  <si>
    <t xml:space="preserve">0720149014,0728543436,0781000201(WORKMATE)</t>
  </si>
  <si>
    <t xml:space="preserve">PWA/3087/</t>
  </si>
  <si>
    <t xml:space="preserve">MAUREEN NJOKI</t>
  </si>
  <si>
    <t xml:space="preserve">PWA/3088/</t>
  </si>
  <si>
    <t xml:space="preserve">OSCAR BARAKA WAFULA</t>
  </si>
  <si>
    <t xml:space="preserve">0726538335,,0716073679</t>
  </si>
  <si>
    <t xml:space="preserve">PWA/3089/</t>
  </si>
  <si>
    <t xml:space="preserve">JAYLEN MUTAYH KASANGA</t>
  </si>
  <si>
    <t xml:space="preserve">0726723633,,0702059804</t>
  </si>
  <si>
    <t xml:space="preserve">PWA/3090/</t>
  </si>
  <si>
    <t xml:space="preserve">CHLOE WAITHERA MURIUKI</t>
  </si>
  <si>
    <t xml:space="preserve">PWA/3091/</t>
  </si>
  <si>
    <t xml:space="preserve">BIKO KIAGE MOKUA</t>
  </si>
  <si>
    <t xml:space="preserve">PWA/3092/</t>
  </si>
  <si>
    <t xml:space="preserve">PRINCE MSHINDI MUMO</t>
  </si>
  <si>
    <t xml:space="preserve">0720317907/0793034152</t>
  </si>
  <si>
    <t xml:space="preserve">PWA/3094/</t>
  </si>
  <si>
    <t xml:space="preserve">GRAYSON MURIUKI MURIITHI</t>
  </si>
  <si>
    <t xml:space="preserve">PWA/3095/</t>
  </si>
  <si>
    <t xml:space="preserve">SHEKINAH MUTHONI MUTHOKI</t>
  </si>
  <si>
    <t xml:space="preserve">PWA/3096/</t>
  </si>
  <si>
    <t xml:space="preserve">ELI MWANGI WANJIRU</t>
  </si>
  <si>
    <t xml:space="preserve">PWA/3097/</t>
  </si>
  <si>
    <t xml:space="preserve">TYLER OKEMWA OGOSI</t>
  </si>
  <si>
    <t xml:space="preserve">PWA/3098/</t>
  </si>
  <si>
    <t xml:space="preserve">kYLE GADDIEL OMOSA</t>
  </si>
  <si>
    <t xml:space="preserve">0713322053/0705014561</t>
  </si>
  <si>
    <t xml:space="preserve">PWA/3099/</t>
  </si>
  <si>
    <t xml:space="preserve">MOSES ODUOR OTIENO</t>
  </si>
  <si>
    <t xml:space="preserve">0723729733/0721777983</t>
  </si>
  <si>
    <t xml:space="preserve">PWA/3100/</t>
  </si>
  <si>
    <t xml:space="preserve">LUCIABELLA AGUNDA OTIENO</t>
  </si>
  <si>
    <t xml:space="preserve">PWA/3101/</t>
  </si>
  <si>
    <t xml:space="preserve">LESLIE WASWA</t>
  </si>
  <si>
    <t xml:space="preserve">0710300806-DAD,0727230952-UNCLE</t>
  </si>
  <si>
    <t xml:space="preserve">PWA/3102/</t>
  </si>
  <si>
    <t xml:space="preserve">MYA NEMAYIAN YIAA</t>
  </si>
  <si>
    <t xml:space="preserve">PWA/3103/</t>
  </si>
  <si>
    <t xml:space="preserve">TREVOR JAMIAN NJOROGE</t>
  </si>
  <si>
    <t xml:space="preserve">0746907407,,0729244228</t>
  </si>
  <si>
    <t xml:space="preserve">PWA/3104/</t>
  </si>
  <si>
    <t xml:space="preserve">ZETHAN NDERITU GACHERU</t>
  </si>
  <si>
    <t xml:space="preserve">PLAYGROUP</t>
  </si>
  <si>
    <t xml:space="preserve">PWA/3105/</t>
  </si>
  <si>
    <t xml:space="preserve">BRIELLA MORAA ATENGA</t>
  </si>
  <si>
    <t xml:space="preserve">PWA/3106/</t>
  </si>
  <si>
    <t xml:space="preserve">LAVIN MARTHA MUTAI</t>
  </si>
  <si>
    <t xml:space="preserve">0722116990/0793742039</t>
  </si>
  <si>
    <t xml:space="preserve">PWA/3107/</t>
  </si>
  <si>
    <t xml:space="preserve">JAYSEN NJOROGE NGWIRI</t>
  </si>
  <si>
    <t xml:space="preserve">0724868677/0725416516</t>
  </si>
  <si>
    <t xml:space="preserve">PWA/3108/</t>
  </si>
  <si>
    <t xml:space="preserve">PETERXAVIER KIRATHE MUTHII</t>
  </si>
  <si>
    <t xml:space="preserve">0713685199/0713806382</t>
  </si>
  <si>
    <t xml:space="preserve">PWA/3109/</t>
  </si>
  <si>
    <t xml:space="preserve">KEISHA NYABOKE KONANA</t>
  </si>
  <si>
    <t xml:space="preserve">PWA/3110/</t>
  </si>
  <si>
    <t xml:space="preserve">ADRIAN KIHAGI KARIUKI</t>
  </si>
  <si>
    <t xml:space="preserve">0728991331/0703151468</t>
  </si>
  <si>
    <t xml:space="preserve">PWA/3111/</t>
  </si>
  <si>
    <t xml:space="preserve">REAGAN DAVIS KEVIN</t>
  </si>
  <si>
    <t xml:space="preserve">0741418811/,0715847830</t>
  </si>
  <si>
    <t xml:space="preserve">PWA/3112/</t>
  </si>
  <si>
    <t xml:space="preserve">PAULA WAKESHO MBEKE</t>
  </si>
  <si>
    <t xml:space="preserve">0724099147/0728477242</t>
  </si>
  <si>
    <t xml:space="preserve">PWA/3113/</t>
  </si>
  <si>
    <t xml:space="preserve">LIANA NGONYO MWERU</t>
  </si>
  <si>
    <t xml:space="preserve">PWA/3114/</t>
  </si>
  <si>
    <t xml:space="preserve">SHAWN MAHUMU MATSIRI</t>
  </si>
  <si>
    <t xml:space="preserve">0724541828/,0718144012</t>
  </si>
  <si>
    <t xml:space="preserve">PWA/3115/</t>
  </si>
  <si>
    <t xml:space="preserve">BENAIAH MWANGI MAINA</t>
  </si>
  <si>
    <t xml:space="preserve">PWA/3116/</t>
  </si>
  <si>
    <t xml:space="preserve"> ASWANI BLESSING JOSSY</t>
  </si>
  <si>
    <t xml:space="preserve">0719882189/,0712541376</t>
  </si>
  <si>
    <t xml:space="preserve">PWA/3117/</t>
  </si>
  <si>
    <t xml:space="preserve">JEWEL MUTHONI MUTAI</t>
  </si>
  <si>
    <t xml:space="preserve">PWA/3118/</t>
  </si>
  <si>
    <t xml:space="preserve">BRIESHAH MARGIE</t>
  </si>
  <si>
    <t xml:space="preserve">0723172569/0714552104</t>
  </si>
  <si>
    <t xml:space="preserve">PWA/3119/</t>
  </si>
  <si>
    <t xml:space="preserve">SHAWN MWENDA MUTETHIA</t>
  </si>
  <si>
    <t xml:space="preserve">0728966819/0724408973</t>
  </si>
  <si>
    <t xml:space="preserve">PWA/3120/</t>
  </si>
  <si>
    <t xml:space="preserve">LEILANI MAKENA MURITHI</t>
  </si>
  <si>
    <t xml:space="preserve">0727431380/0715557849</t>
  </si>
  <si>
    <t xml:space="preserve">PWA/3121/</t>
  </si>
  <si>
    <t xml:space="preserve">ABIGAEL ZAWADI KIUNDU</t>
  </si>
  <si>
    <t xml:space="preserve">0724672507/0720039462</t>
  </si>
  <si>
    <t xml:space="preserve">PWA/3122/</t>
  </si>
  <si>
    <t xml:space="preserve">JANCY WANJIRA NDUNGU</t>
  </si>
  <si>
    <t xml:space="preserve">0723590442/0741925073</t>
  </si>
  <si>
    <t xml:space="preserve">PWA/3123/</t>
  </si>
  <si>
    <t xml:space="preserve">BRYSON CHEMJOR LAGAT</t>
  </si>
  <si>
    <t xml:space="preserve">0721765242/0712380513</t>
  </si>
  <si>
    <t xml:space="preserve">PWA/3124/</t>
  </si>
  <si>
    <t xml:space="preserve">BRIANNA JEPKEMOI LAGAT</t>
  </si>
  <si>
    <t xml:space="preserve">PWA/3125/</t>
  </si>
  <si>
    <t xml:space="preserve">ABNER LEMAYIAN MACKNZIE</t>
  </si>
  <si>
    <t xml:space="preserve">0727366818/0743573683</t>
  </si>
  <si>
    <t xml:space="preserve">PWA/3126/</t>
  </si>
  <si>
    <t xml:space="preserve">SHANNEL TIFFANY MWENDE MUNENE</t>
  </si>
  <si>
    <t xml:space="preserve">0728818916/0720628371</t>
  </si>
  <si>
    <t xml:space="preserve">PWA/3127/</t>
  </si>
  <si>
    <t xml:space="preserve">NESSIE JONES MAINA</t>
  </si>
  <si>
    <t xml:space="preserve">0706668706/0759389572</t>
  </si>
  <si>
    <t xml:space="preserve">PWA/3130/</t>
  </si>
  <si>
    <t xml:space="preserve">RYAN KAHARE CHEGE</t>
  </si>
  <si>
    <t xml:space="preserve">0728299071/0727019660</t>
  </si>
  <si>
    <t xml:space="preserve">PWA/3131/</t>
  </si>
  <si>
    <t xml:space="preserve">RYAN KIBE NJUGUNA</t>
  </si>
  <si>
    <t xml:space="preserve">0111348338/0706162647</t>
  </si>
  <si>
    <t xml:space="preserve">PWA/3134/</t>
  </si>
  <si>
    <t xml:space="preserve">IVY SHIRO CHEROTICH MUCHWE</t>
  </si>
  <si>
    <t xml:space="preserve">0724520012/0725284564</t>
  </si>
  <si>
    <t xml:space="preserve">PWA/3135/</t>
  </si>
  <si>
    <t xml:space="preserve">JOY SKYLER MAINA</t>
  </si>
  <si>
    <t xml:space="preserve">0712896882/0725434767</t>
  </si>
  <si>
    <t xml:space="preserve">PWA/3138/</t>
  </si>
  <si>
    <t xml:space="preserve"> WANJIRU KIHOBE</t>
  </si>
  <si>
    <t xml:space="preserve">0722254990/0722867414/0718506833</t>
  </si>
  <si>
    <t xml:space="preserve">PWA/3141/</t>
  </si>
  <si>
    <t xml:space="preserve">ABEL WANYIKA MUNANGA</t>
  </si>
  <si>
    <t xml:space="preserve">0724717789/</t>
  </si>
  <si>
    <t xml:space="preserve">PWA/3142/</t>
  </si>
  <si>
    <t xml:space="preserve">JAMES KABUGI KARIMI</t>
  </si>
  <si>
    <t xml:space="preserve">PWA/3143/</t>
  </si>
  <si>
    <t xml:space="preserve">SHAQUILLE CHEGE NJUGUNA</t>
  </si>
  <si>
    <t xml:space="preserve">0723818453/0721962226/0723606203</t>
  </si>
  <si>
    <t xml:space="preserve">PWA/3144/</t>
  </si>
  <si>
    <t xml:space="preserve">SHARVEEN KARANJA NJUGUNA</t>
  </si>
  <si>
    <t xml:space="preserve">PWA/3145/</t>
  </si>
  <si>
    <t xml:space="preserve">BRIAN MURIITHI NJERI</t>
  </si>
  <si>
    <t xml:space="preserve">0715487846/0729221147</t>
  </si>
  <si>
    <t xml:space="preserve">PWA/3146/</t>
  </si>
  <si>
    <t xml:space="preserve">ROY ROTICH KIMUTAI</t>
  </si>
  <si>
    <t xml:space="preserve">0720641397/0728448728</t>
  </si>
  <si>
    <t xml:space="preserve">PWA/3147/</t>
  </si>
  <si>
    <t xml:space="preserve">ROYALLE AYANNAH OTIENO</t>
  </si>
  <si>
    <t xml:space="preserve">0719966231/0704450934/0710444504</t>
  </si>
  <si>
    <t xml:space="preserve">PWA/3148/</t>
  </si>
  <si>
    <t xml:space="preserve">TERESIA GATHONI MICINO</t>
  </si>
  <si>
    <t xml:space="preserve">0720894580/0727461612</t>
  </si>
  <si>
    <t xml:space="preserve">PWA/3149/</t>
  </si>
  <si>
    <t xml:space="preserve">RAYMOND JABALI MWAI</t>
  </si>
  <si>
    <t xml:space="preserve">0710111613/0714080134</t>
  </si>
  <si>
    <t xml:space="preserve">PWA/3150/</t>
  </si>
  <si>
    <t xml:space="preserve">SAMUEL KERICHO KAMAU</t>
  </si>
  <si>
    <t xml:space="preserve">0721401367/0717684332</t>
  </si>
  <si>
    <t xml:space="preserve">PWA/3151/</t>
  </si>
  <si>
    <t xml:space="preserve">JAYANA NJOKI KIRAGU</t>
  </si>
  <si>
    <t xml:space="preserve">0701710217/0725790072</t>
  </si>
  <si>
    <t xml:space="preserve">PWA/3152/</t>
  </si>
  <si>
    <t xml:space="preserve">RACHEL ELVIA WAIRIMU GAKANDU</t>
  </si>
  <si>
    <t xml:space="preserve">0710686413/0715307103</t>
  </si>
  <si>
    <t xml:space="preserve">PWA/3153/</t>
  </si>
  <si>
    <t xml:space="preserve">SHANTELLE CHEPKEMOI ROTICH</t>
  </si>
  <si>
    <t xml:space="preserve">0720641397/0720641397</t>
  </si>
  <si>
    <t xml:space="preserve">PWA/3154/</t>
  </si>
  <si>
    <t xml:space="preserve">GLEN ABSOLOM WASWA</t>
  </si>
  <si>
    <t xml:space="preserve">PWA/3155/</t>
  </si>
  <si>
    <t xml:space="preserve">MIGAEL KWENA OLOO</t>
  </si>
  <si>
    <t xml:space="preserve">PWA/3158/</t>
  </si>
  <si>
    <t xml:space="preserve">DYLAN CYPRIAN OCHOLLA</t>
  </si>
  <si>
    <t xml:space="preserve">0718496099/0711860802</t>
  </si>
  <si>
    <t xml:space="preserve">PWA/3159/</t>
  </si>
  <si>
    <t xml:space="preserve">WHITNEY NJERI MURIITHI</t>
  </si>
  <si>
    <t xml:space="preserve">0721544741/0728543724</t>
  </si>
  <si>
    <t xml:space="preserve">PWA/3160/</t>
  </si>
  <si>
    <t xml:space="preserve">SAMMALIK OKELLO</t>
  </si>
  <si>
    <t xml:space="preserve">0708143083/0793851854</t>
  </si>
  <si>
    <t xml:space="preserve">PWA/3161/</t>
  </si>
  <si>
    <t xml:space="preserve">RUTH AKINYI OLUOCH</t>
  </si>
  <si>
    <t xml:space="preserve">0725281358/0728350682</t>
  </si>
  <si>
    <t xml:space="preserve">PWA/3162/</t>
  </si>
  <si>
    <t xml:space="preserve">BLESSING PENDO OLUOCH</t>
  </si>
  <si>
    <t xml:space="preserve">PWA/3163/</t>
  </si>
  <si>
    <t xml:space="preserve">NAOMI KELLY MUTINDA</t>
  </si>
  <si>
    <t xml:space="preserve">0721811954/0721152002</t>
  </si>
  <si>
    <t xml:space="preserve">PWA/3164/</t>
  </si>
  <si>
    <t xml:space="preserve">RUTH MBATHA MUTINDA</t>
  </si>
  <si>
    <t xml:space="preserve">PWA/3166/</t>
  </si>
  <si>
    <t xml:space="preserve">AYANA PENDO MUYONGA</t>
  </si>
  <si>
    <t xml:space="preserve">0726723322/0702423974</t>
  </si>
  <si>
    <t xml:space="preserve">PWA/3167/</t>
  </si>
  <si>
    <t xml:space="preserve">LETICIA NYAGUTHII KINYUA</t>
  </si>
  <si>
    <t xml:space="preserve">0718789786/0729017824</t>
  </si>
  <si>
    <t xml:space="preserve">PWA/3168/</t>
  </si>
  <si>
    <t xml:space="preserve">IVAN GITHU CHEGE</t>
  </si>
  <si>
    <t xml:space="preserve">0721125307/0713165895</t>
  </si>
  <si>
    <t xml:space="preserve">PWA/3169/</t>
  </si>
  <si>
    <t xml:space="preserve">MALIKA NJERI KABUTHIA</t>
  </si>
  <si>
    <t xml:space="preserve">0736487875/0719841536</t>
  </si>
  <si>
    <t xml:space="preserve">PWA/3170/</t>
  </si>
  <si>
    <t xml:space="preserve">PRECIOUS WAITHERA NJOGU</t>
  </si>
  <si>
    <t xml:space="preserve">PWA/3171/</t>
  </si>
  <si>
    <t xml:space="preserve">PRUDENCE MUTHONI NJOGU</t>
  </si>
  <si>
    <t xml:space="preserve">PWA/3172/</t>
  </si>
  <si>
    <t xml:space="preserve">LIZZY GABRIELLA</t>
  </si>
  <si>
    <t xml:space="preserve">0728617466/0722140322</t>
  </si>
  <si>
    <t xml:space="preserve">PWA/3173/</t>
  </si>
  <si>
    <t xml:space="preserve">BRIAN MWANGI</t>
  </si>
  <si>
    <t xml:space="preserve">0790167564/0717606377</t>
  </si>
  <si>
    <t xml:space="preserve">PWA/3174/</t>
  </si>
  <si>
    <t xml:space="preserve">BRIANNA MACKENZIE MAKENZI</t>
  </si>
  <si>
    <t xml:space="preserve">0722144386/0722767872</t>
  </si>
  <si>
    <t xml:space="preserve">PWA/3175/</t>
  </si>
  <si>
    <t xml:space="preserve">NATHAN KEMBOI KIPNG'ETICH</t>
  </si>
  <si>
    <t xml:space="preserve">0724293772/0728302634</t>
  </si>
  <si>
    <t xml:space="preserve">PWA/3176/</t>
  </si>
  <si>
    <t xml:space="preserve">ELLA LUCILLA WANGUI GITONGA</t>
  </si>
  <si>
    <t xml:space="preserve">0720941488/0732323513</t>
  </si>
  <si>
    <t xml:space="preserve">PWA/3178/</t>
  </si>
  <si>
    <t xml:space="preserve">LIAN KAHUGA THEURI</t>
  </si>
  <si>
    <t xml:space="preserve">PWA/3179/</t>
  </si>
  <si>
    <t xml:space="preserve">LAUREL WANGECI THEURI</t>
  </si>
  <si>
    <t xml:space="preserve">PWA/3180/</t>
  </si>
  <si>
    <t xml:space="preserve">WARREN MUGI</t>
  </si>
  <si>
    <t xml:space="preserve">07230953308/0781549859</t>
  </si>
  <si>
    <t xml:space="preserve">PWA/3181/</t>
  </si>
  <si>
    <t xml:space="preserve">TREVOR NJONGE MUTURI </t>
  </si>
  <si>
    <t xml:space="preserve">0721927040/0721334720</t>
  </si>
  <si>
    <t xml:space="preserve">PWA/3182/</t>
  </si>
  <si>
    <t xml:space="preserve">KAYSAN NORTH OBUYA</t>
  </si>
  <si>
    <t xml:space="preserve">0720396236/0721224112</t>
  </si>
  <si>
    <t xml:space="preserve">PWA/3183/</t>
  </si>
  <si>
    <t xml:space="preserve">ANDY MWANGI NJOGU</t>
  </si>
  <si>
    <t xml:space="preserve">PWA/3184/</t>
  </si>
  <si>
    <t xml:space="preserve">ROY MWAURA NDUNG'U</t>
  </si>
  <si>
    <t xml:space="preserve">0723522121/0735891851/0724225856</t>
  </si>
  <si>
    <t xml:space="preserve">PWA/3187/</t>
  </si>
  <si>
    <t xml:space="preserve">LEON MURIITHI GITONGA</t>
  </si>
  <si>
    <t xml:space="preserve">0715395173/0720628422</t>
  </si>
  <si>
    <t xml:space="preserve">PWA/3188/</t>
  </si>
  <si>
    <t xml:space="preserve">HADASSAH NKIROTE KABERIA</t>
  </si>
  <si>
    <t xml:space="preserve">0700040480/0725505861</t>
  </si>
  <si>
    <t xml:space="preserve">PWA/3189/</t>
  </si>
  <si>
    <t xml:space="preserve">ARIANA WAMBUI NDUNG'U</t>
  </si>
  <si>
    <t xml:space="preserve">0721828639/0722342048/0720548519</t>
  </si>
  <si>
    <t xml:space="preserve">PWA/3190/</t>
  </si>
  <si>
    <t xml:space="preserve">ELLYANNA NJOKI NDUNG'U</t>
  </si>
  <si>
    <t xml:space="preserve">0721828639/0722342048/0720548519/0735004708</t>
  </si>
  <si>
    <t xml:space="preserve">PWA/3191/</t>
  </si>
  <si>
    <t xml:space="preserve">JADE SKYLAR OBUYA</t>
  </si>
  <si>
    <t xml:space="preserve">0714315168/0711559935</t>
  </si>
  <si>
    <t xml:space="preserve">PWA/3192/</t>
  </si>
  <si>
    <t xml:space="preserve">NIGEL KUPUONI MUKOYA</t>
  </si>
  <si>
    <t xml:space="preserve">0702393931/0706271416</t>
  </si>
  <si>
    <t xml:space="preserve">PWA/3193/</t>
  </si>
  <si>
    <t xml:space="preserve">ZELIPHA NJERI KABUGA</t>
  </si>
  <si>
    <t xml:space="preserve">0726243712/0722518701</t>
  </si>
  <si>
    <t xml:space="preserve">PWA/3194/</t>
  </si>
  <si>
    <t xml:space="preserve">KELSEY BRITTANY AWINO</t>
  </si>
  <si>
    <t xml:space="preserve">0706491735/0724132977</t>
  </si>
  <si>
    <t xml:space="preserve">PWA/3195/</t>
  </si>
  <si>
    <t xml:space="preserve">GEORGE KANG'ARA</t>
  </si>
  <si>
    <t xml:space="preserve">0702063905/0759078938</t>
  </si>
  <si>
    <t xml:space="preserve">PWA/3196/</t>
  </si>
  <si>
    <t xml:space="preserve">HADRIEL MUCHUI KABERIA</t>
  </si>
  <si>
    <t xml:space="preserve">PWA/3197/</t>
  </si>
  <si>
    <t xml:space="preserve">ANGEL NJOKI NJUGUNA</t>
  </si>
  <si>
    <t xml:space="preserve">0728791780/0704710820</t>
  </si>
  <si>
    <t xml:space="preserve">PWA/3199/</t>
  </si>
  <si>
    <t xml:space="preserve">GIANNA MUMBE MUTISYA</t>
  </si>
  <si>
    <t xml:space="preserve">0702235604/0797675079</t>
  </si>
  <si>
    <t xml:space="preserve">PWA/3200/</t>
  </si>
  <si>
    <t xml:space="preserve">NERIAH WAMBUI NGATIA</t>
  </si>
  <si>
    <t xml:space="preserve">0712063167/0720486713</t>
  </si>
  <si>
    <t xml:space="preserve">PWA/3202/</t>
  </si>
  <si>
    <t xml:space="preserve">AIDEN KHALIFA OKETCH</t>
  </si>
  <si>
    <t xml:space="preserve">PWA/3203/</t>
  </si>
  <si>
    <t xml:space="preserve">SHANICE NJERI NJUSE</t>
  </si>
  <si>
    <t xml:space="preserve">0723861270/0729561156</t>
  </si>
  <si>
    <t xml:space="preserve">PWA/3204/</t>
  </si>
  <si>
    <t xml:space="preserve">GIAN MUSYOKA MUMO</t>
  </si>
  <si>
    <t xml:space="preserve">0723928832/0708133480</t>
  </si>
  <si>
    <t xml:space="preserve">PWA/3207/</t>
  </si>
  <si>
    <t xml:space="preserve">BRENDA CARLY OTIENO</t>
  </si>
  <si>
    <t xml:space="preserve">0715327097/0726476863</t>
  </si>
  <si>
    <t xml:space="preserve">PWA/3208/</t>
  </si>
  <si>
    <t xml:space="preserve">MAXWELL NJOROGE KURIA</t>
  </si>
  <si>
    <t xml:space="preserve">0726178485/0723698248</t>
  </si>
  <si>
    <t xml:space="preserve">PWA/3209/</t>
  </si>
  <si>
    <t xml:space="preserve">ISABEL LUBBY LUKOYE</t>
  </si>
  <si>
    <t xml:space="preserve">0722864487/0723978159</t>
  </si>
  <si>
    <t xml:space="preserve">PWA/3210/</t>
  </si>
  <si>
    <t xml:space="preserve">PHYLLIS MUTHEU MULU</t>
  </si>
  <si>
    <t xml:space="preserve">0713130553/0742485300</t>
  </si>
  <si>
    <t xml:space="preserve">PWA/3211/</t>
  </si>
  <si>
    <t xml:space="preserve">TIM HARMONY OKUMU</t>
  </si>
  <si>
    <t xml:space="preserve">0700153911/0721933520</t>
  </si>
  <si>
    <t xml:space="preserve">PWA/3212/</t>
  </si>
  <si>
    <t xml:space="preserve">FORTUNE NGIE MWENDWA</t>
  </si>
  <si>
    <t xml:space="preserve">0719640604/0768595076</t>
  </si>
  <si>
    <t xml:space="preserve">PWA/3213/</t>
  </si>
  <si>
    <t xml:space="preserve">MARIANA AMELIA OGUTU</t>
  </si>
  <si>
    <t xml:space="preserve">0726697202/0711802570</t>
  </si>
  <si>
    <t xml:space="preserve">PWA/3214/</t>
  </si>
  <si>
    <t xml:space="preserve">LEONNE KYLE MWANGI</t>
  </si>
  <si>
    <t xml:space="preserve">0791434264/0799381432</t>
  </si>
  <si>
    <t xml:space="preserve">PWA/3215/</t>
  </si>
  <si>
    <t xml:space="preserve">CRAUDIA NYOKABI MUMBI</t>
  </si>
  <si>
    <t xml:space="preserve">0758712702/0724718310</t>
  </si>
  <si>
    <t xml:space="preserve">PWA/3216/</t>
  </si>
  <si>
    <t xml:space="preserve">PINKY GABRIELLA MUMBI</t>
  </si>
  <si>
    <t xml:space="preserve">PWA/3217/</t>
  </si>
  <si>
    <t xml:space="preserve">GABRIEL WANGENYE MUMBI</t>
  </si>
  <si>
    <t xml:space="preserve">PWA/3218/</t>
  </si>
  <si>
    <t xml:space="preserve">FABIAN NDOTTO KASSIM</t>
  </si>
  <si>
    <t xml:space="preserve">0792259454/0724101919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</si>
</sst>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_(* #,##0_);_(* \(#,##0\);_(* \-??_);_(@_)"/>
    <numFmt numFmtId="167" formatCode="#,##0.00"/>
    <numFmt numFmtId="168" formatCode="#,##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54296875" defaultRowHeight="15.75" zeroHeight="false" outlineLevelRow="0" outlineLevelCol="0"/>
  <cols>
    <col collapsed="false" customWidth="true" hidden="true" outlineLevel="0" max="1" min="1" style="0" width="5"/>
    <col collapsed="false" customWidth="true" hidden="false" outlineLevel="0" max="2" min="2" style="0" width="18.52"/>
    <col collapsed="false" customWidth="true" hidden="true" outlineLevel="0" max="3" min="3" style="0" width="35.57"/>
    <col collapsed="false" customWidth="true" hidden="true" outlineLevel="0" max="4" min="4" style="1" width="21.85"/>
    <col collapsed="false" customWidth="true" hidden="true" outlineLevel="0" max="5" min="5" style="0" width="48.14"/>
    <col collapsed="false" customWidth="true" hidden="true" outlineLevel="0" max="6" min="6" style="0" width="11.85"/>
    <col collapsed="false" customWidth="true" hidden="true" outlineLevel="0" max="7" min="7" style="0" width="11.28"/>
    <col collapsed="false" customWidth="true" hidden="true" outlineLevel="0" max="8" min="8" style="0" width="15.14"/>
    <col collapsed="false" customWidth="true" hidden="false" outlineLevel="0" max="9" min="9" style="0" width="38.58"/>
    <col collapsed="false" customWidth="true" hidden="false" outlineLevel="0" max="10" min="10" style="0" width="2.71"/>
    <col collapsed="false" customWidth="true" hidden="false" outlineLevel="0" max="11" min="11" style="0" width="11.85"/>
    <col collapsed="false" customWidth="true" hidden="false" outlineLevel="0" max="12" min="12" style="0" width="17.85"/>
    <col collapsed="false" customWidth="true" hidden="false" outlineLevel="0" max="13" min="13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n">
        <v>2025</v>
      </c>
      <c r="B2" s="0" t="s">
        <v>9</v>
      </c>
      <c r="C2" s="0" t="s">
        <v>10</v>
      </c>
      <c r="D2" s="1" t="s">
        <v>11</v>
      </c>
      <c r="E2" s="0" t="n">
        <v>254</v>
      </c>
      <c r="F2" s="0" t="n">
        <v>0</v>
      </c>
      <c r="G2" s="0" t="n">
        <v>0</v>
      </c>
      <c r="H2" s="0" t="n">
        <v>0</v>
      </c>
      <c r="I2" s="2" t="n">
        <f aca="false">G2+H2-F2</f>
        <v>0</v>
      </c>
    </row>
    <row r="3" customFormat="false" ht="15" hidden="false" customHeight="false" outlineLevel="0" collapsed="false">
      <c r="A3" s="0" t="n">
        <v>2025</v>
      </c>
      <c r="B3" s="0" t="s">
        <v>12</v>
      </c>
      <c r="C3" s="0" t="s">
        <v>13</v>
      </c>
      <c r="D3" s="1" t="s">
        <v>11</v>
      </c>
      <c r="E3" s="0" t="n">
        <v>254</v>
      </c>
      <c r="F3" s="0" t="n">
        <v>0</v>
      </c>
      <c r="G3" s="3" t="n">
        <v>20500</v>
      </c>
      <c r="H3" s="3" t="n">
        <v>31000</v>
      </c>
      <c r="I3" s="2" t="n">
        <f aca="false">G3+H3-F3</f>
        <v>51500</v>
      </c>
    </row>
    <row r="4" customFormat="false" ht="15" hidden="false" customHeight="false" outlineLevel="0" collapsed="false">
      <c r="A4" s="0" t="n">
        <v>2025</v>
      </c>
      <c r="B4" s="0" t="s">
        <v>14</v>
      </c>
      <c r="C4" s="0" t="s">
        <v>15</v>
      </c>
      <c r="D4" s="1" t="s">
        <v>11</v>
      </c>
      <c r="E4" s="0" t="n">
        <v>254</v>
      </c>
      <c r="F4" s="0" t="n">
        <v>0</v>
      </c>
      <c r="G4" s="0" t="n">
        <v>0</v>
      </c>
      <c r="H4" s="0" t="n">
        <v>0</v>
      </c>
      <c r="I4" s="2" t="n">
        <f aca="false">G4+H4-F4</f>
        <v>0</v>
      </c>
    </row>
    <row r="5" customFormat="false" ht="15" hidden="false" customHeight="false" outlineLevel="0" collapsed="false">
      <c r="A5" s="0" t="n">
        <v>2025</v>
      </c>
      <c r="B5" s="0" t="s">
        <v>16</v>
      </c>
      <c r="C5" s="0" t="s">
        <v>17</v>
      </c>
      <c r="D5" s="1" t="s">
        <v>11</v>
      </c>
      <c r="E5" s="0" t="n">
        <v>254</v>
      </c>
      <c r="F5" s="0" t="n">
        <v>0</v>
      </c>
      <c r="G5" s="0" t="n">
        <v>0</v>
      </c>
      <c r="H5" s="0" t="n">
        <v>0</v>
      </c>
      <c r="I5" s="2" t="n">
        <f aca="false">G5+H5-F5</f>
        <v>0</v>
      </c>
    </row>
    <row r="6" customFormat="false" ht="15" hidden="false" customHeight="false" outlineLevel="0" collapsed="false">
      <c r="A6" s="0" t="n">
        <v>2025</v>
      </c>
      <c r="B6" s="0" t="s">
        <v>18</v>
      </c>
      <c r="C6" s="0" t="s">
        <v>19</v>
      </c>
      <c r="D6" s="1" t="s">
        <v>11</v>
      </c>
      <c r="E6" s="0" t="n">
        <v>254</v>
      </c>
      <c r="F6" s="0" t="n">
        <v>0</v>
      </c>
      <c r="G6" s="3" t="n">
        <v>9750</v>
      </c>
      <c r="H6" s="3" t="n">
        <v>34500</v>
      </c>
      <c r="I6" s="2" t="n">
        <f aca="false">G6+H6-F6</f>
        <v>44250</v>
      </c>
    </row>
    <row r="7" customFormat="false" ht="15" hidden="false" customHeight="false" outlineLevel="0" collapsed="false">
      <c r="A7" s="0" t="n">
        <v>2025</v>
      </c>
      <c r="B7" s="0" t="s">
        <v>20</v>
      </c>
      <c r="C7" s="0" t="s">
        <v>21</v>
      </c>
      <c r="D7" s="1" t="s">
        <v>11</v>
      </c>
      <c r="E7" s="0" t="n">
        <v>254</v>
      </c>
      <c r="F7" s="0" t="n">
        <v>0</v>
      </c>
      <c r="G7" s="0" t="n">
        <v>0</v>
      </c>
      <c r="H7" s="0" t="n">
        <v>50</v>
      </c>
      <c r="I7" s="2" t="n">
        <f aca="false">G7+H7-F7</f>
        <v>50</v>
      </c>
    </row>
    <row r="8" customFormat="false" ht="15" hidden="false" customHeight="false" outlineLevel="0" collapsed="false">
      <c r="A8" s="0" t="n">
        <v>2025</v>
      </c>
      <c r="B8" s="0" t="s">
        <v>22</v>
      </c>
      <c r="C8" s="0" t="s">
        <v>23</v>
      </c>
      <c r="D8" s="1" t="s">
        <v>11</v>
      </c>
      <c r="E8" s="0" t="n">
        <v>254</v>
      </c>
      <c r="F8" s="0" t="n">
        <v>0</v>
      </c>
      <c r="G8" s="0" t="n">
        <v>0</v>
      </c>
      <c r="H8" s="0" t="n">
        <v>0</v>
      </c>
      <c r="I8" s="2" t="n">
        <f aca="false">G8+H8-F8</f>
        <v>0</v>
      </c>
    </row>
    <row r="9" customFormat="false" ht="15" hidden="false" customHeight="false" outlineLevel="0" collapsed="false">
      <c r="A9" s="0" t="n">
        <v>2025</v>
      </c>
      <c r="B9" s="0" t="s">
        <v>24</v>
      </c>
      <c r="C9" s="0" t="s">
        <v>25</v>
      </c>
      <c r="D9" s="1" t="s">
        <v>11</v>
      </c>
      <c r="E9" s="0" t="n">
        <v>254</v>
      </c>
      <c r="F9" s="0" t="n">
        <v>0</v>
      </c>
      <c r="G9" s="0" t="n">
        <v>0</v>
      </c>
      <c r="H9" s="0" t="n">
        <v>0</v>
      </c>
      <c r="I9" s="2" t="n">
        <f aca="false">G9+H9-F9</f>
        <v>0</v>
      </c>
    </row>
    <row r="10" customFormat="false" ht="15" hidden="false" customHeight="false" outlineLevel="0" collapsed="false">
      <c r="A10" s="0" t="n">
        <v>2025</v>
      </c>
      <c r="B10" s="0" t="s">
        <v>26</v>
      </c>
      <c r="C10" s="0" t="s">
        <v>27</v>
      </c>
      <c r="D10" s="1" t="s">
        <v>11</v>
      </c>
      <c r="E10" s="0" t="n">
        <v>254</v>
      </c>
      <c r="F10" s="0" t="n">
        <v>0</v>
      </c>
      <c r="G10" s="0" t="n">
        <v>0</v>
      </c>
      <c r="H10" s="3" t="n">
        <v>3000</v>
      </c>
      <c r="I10" s="2" t="n">
        <f aca="false">G10+H10-F10</f>
        <v>3000</v>
      </c>
    </row>
    <row r="11" customFormat="false" ht="15" hidden="false" customHeight="false" outlineLevel="0" collapsed="false">
      <c r="A11" s="0" t="n">
        <v>2025</v>
      </c>
      <c r="B11" s="0" t="s">
        <v>28</v>
      </c>
      <c r="C11" s="0" t="s">
        <v>29</v>
      </c>
      <c r="D11" s="1" t="s">
        <v>11</v>
      </c>
      <c r="E11" s="0" t="n">
        <v>254</v>
      </c>
      <c r="F11" s="0" t="n">
        <v>0</v>
      </c>
      <c r="G11" s="0" t="n">
        <v>0</v>
      </c>
      <c r="H11" s="0" t="n">
        <v>0</v>
      </c>
      <c r="I11" s="2" t="n">
        <f aca="false">G11+H11-F11</f>
        <v>0</v>
      </c>
    </row>
    <row r="12" customFormat="false" ht="15" hidden="false" customHeight="false" outlineLevel="0" collapsed="false">
      <c r="A12" s="0" t="n">
        <v>2025</v>
      </c>
      <c r="B12" s="0" t="s">
        <v>30</v>
      </c>
      <c r="C12" s="0" t="s">
        <v>31</v>
      </c>
      <c r="D12" s="1" t="s">
        <v>11</v>
      </c>
      <c r="E12" s="0" t="n">
        <v>254</v>
      </c>
      <c r="F12" s="0" t="n">
        <v>0</v>
      </c>
      <c r="G12" s="0" t="n">
        <v>0</v>
      </c>
      <c r="H12" s="0" t="n">
        <v>0</v>
      </c>
      <c r="I12" s="2" t="n">
        <f aca="false">G12+H12-F12</f>
        <v>0</v>
      </c>
    </row>
    <row r="13" customFormat="false" ht="15" hidden="false" customHeight="false" outlineLevel="0" collapsed="false">
      <c r="A13" s="0" t="n">
        <v>2025</v>
      </c>
      <c r="B13" s="0" t="s">
        <v>32</v>
      </c>
      <c r="C13" s="0" t="s">
        <v>33</v>
      </c>
      <c r="D13" s="1" t="s">
        <v>11</v>
      </c>
      <c r="E13" s="0" t="n">
        <v>254</v>
      </c>
      <c r="F13" s="0" t="n">
        <v>300</v>
      </c>
      <c r="G13" s="0" t="n">
        <v>0</v>
      </c>
      <c r="H13" s="0" t="n">
        <v>0</v>
      </c>
      <c r="I13" s="2" t="n">
        <f aca="false">G13+H13-F13</f>
        <v>-300</v>
      </c>
    </row>
    <row r="14" customFormat="false" ht="15" hidden="false" customHeight="false" outlineLevel="0" collapsed="false">
      <c r="A14" s="0" t="n">
        <v>2025</v>
      </c>
      <c r="B14" s="0" t="s">
        <v>34</v>
      </c>
      <c r="C14" s="0" t="s">
        <v>35</v>
      </c>
      <c r="D14" s="1" t="s">
        <v>11</v>
      </c>
      <c r="E14" s="0" t="n">
        <v>254</v>
      </c>
      <c r="F14" s="0" t="n">
        <v>0</v>
      </c>
      <c r="G14" s="0" t="n">
        <v>0</v>
      </c>
      <c r="H14" s="0" t="n">
        <v>0</v>
      </c>
      <c r="I14" s="2" t="n">
        <f aca="false">G14+H14-F14</f>
        <v>0</v>
      </c>
    </row>
    <row r="15" customFormat="false" ht="15" hidden="false" customHeight="false" outlineLevel="0" collapsed="false">
      <c r="A15" s="0" t="n">
        <v>2025</v>
      </c>
      <c r="B15" s="0" t="s">
        <v>36</v>
      </c>
      <c r="C15" s="0" t="s">
        <v>37</v>
      </c>
      <c r="D15" s="1" t="s">
        <v>11</v>
      </c>
      <c r="E15" s="0" t="n">
        <v>254</v>
      </c>
      <c r="F15" s="0" t="n">
        <v>0</v>
      </c>
      <c r="G15" s="0" t="n">
        <v>0</v>
      </c>
      <c r="H15" s="0" t="n">
        <v>0</v>
      </c>
      <c r="I15" s="2" t="n">
        <f aca="false">G15+H15-F15</f>
        <v>0</v>
      </c>
    </row>
    <row r="16" customFormat="false" ht="15" hidden="false" customHeight="false" outlineLevel="0" collapsed="false">
      <c r="A16" s="0" t="n">
        <v>2025</v>
      </c>
      <c r="B16" s="0" t="s">
        <v>38</v>
      </c>
      <c r="C16" s="0" t="s">
        <v>39</v>
      </c>
      <c r="D16" s="1" t="s">
        <v>11</v>
      </c>
      <c r="E16" s="0" t="n">
        <v>254</v>
      </c>
      <c r="F16" s="0" t="n">
        <v>0</v>
      </c>
      <c r="G16" s="0" t="n">
        <v>0</v>
      </c>
      <c r="H16" s="0" t="n">
        <v>0</v>
      </c>
      <c r="I16" s="2" t="n">
        <f aca="false">G16+H16-F16</f>
        <v>0</v>
      </c>
    </row>
    <row r="17" customFormat="false" ht="15" hidden="false" customHeight="false" outlineLevel="0" collapsed="false">
      <c r="A17" s="0" t="n">
        <v>2025</v>
      </c>
      <c r="B17" s="0" t="s">
        <v>40</v>
      </c>
      <c r="C17" s="0" t="s">
        <v>41</v>
      </c>
      <c r="D17" s="1" t="s">
        <v>11</v>
      </c>
      <c r="E17" s="0" t="n">
        <v>254</v>
      </c>
      <c r="F17" s="0" t="n">
        <v>0</v>
      </c>
      <c r="G17" s="0" t="n">
        <v>0</v>
      </c>
      <c r="H17" s="0" t="n">
        <v>0</v>
      </c>
      <c r="I17" s="2" t="n">
        <f aca="false">G17+H17-F17</f>
        <v>0</v>
      </c>
    </row>
    <row r="18" customFormat="false" ht="15" hidden="false" customHeight="false" outlineLevel="0" collapsed="false">
      <c r="A18" s="0" t="n">
        <v>2025</v>
      </c>
      <c r="B18" s="0" t="s">
        <v>42</v>
      </c>
      <c r="C18" s="0" t="s">
        <v>43</v>
      </c>
      <c r="D18" s="1" t="s">
        <v>11</v>
      </c>
      <c r="E18" s="0" t="n">
        <v>254</v>
      </c>
      <c r="F18" s="0" t="n">
        <v>0</v>
      </c>
      <c r="G18" s="0" t="n">
        <v>0</v>
      </c>
      <c r="H18" s="0" t="n">
        <v>0</v>
      </c>
      <c r="I18" s="2" t="n">
        <f aca="false">G18+H18-F18</f>
        <v>0</v>
      </c>
    </row>
    <row r="19" customFormat="false" ht="15" hidden="false" customHeight="false" outlineLevel="0" collapsed="false">
      <c r="A19" s="0" t="n">
        <v>2025</v>
      </c>
      <c r="B19" s="0" t="s">
        <v>44</v>
      </c>
      <c r="C19" s="0" t="s">
        <v>45</v>
      </c>
      <c r="D19" s="1" t="s">
        <v>11</v>
      </c>
      <c r="E19" s="0" t="n">
        <v>254</v>
      </c>
      <c r="F19" s="0" t="n">
        <v>0</v>
      </c>
      <c r="G19" s="0" t="n">
        <v>0</v>
      </c>
      <c r="H19" s="3" t="n">
        <v>1500</v>
      </c>
      <c r="I19" s="2" t="n">
        <f aca="false">G19+H19-F19</f>
        <v>1500</v>
      </c>
    </row>
    <row r="20" customFormat="false" ht="15" hidden="false" customHeight="false" outlineLevel="0" collapsed="false">
      <c r="A20" s="0" t="n">
        <v>2025</v>
      </c>
      <c r="B20" s="0" t="s">
        <v>46</v>
      </c>
      <c r="C20" s="0" t="s">
        <v>47</v>
      </c>
      <c r="D20" s="1" t="s">
        <v>11</v>
      </c>
      <c r="E20" s="0" t="n">
        <v>254</v>
      </c>
      <c r="F20" s="0" t="n">
        <v>0</v>
      </c>
      <c r="G20" s="0" t="n">
        <v>0</v>
      </c>
      <c r="H20" s="0" t="n">
        <v>0</v>
      </c>
      <c r="I20" s="2" t="n">
        <f aca="false">G20+H20-F20</f>
        <v>0</v>
      </c>
    </row>
    <row r="21" customFormat="false" ht="15" hidden="false" customHeight="false" outlineLevel="0" collapsed="false">
      <c r="A21" s="0" t="n">
        <v>2025</v>
      </c>
      <c r="B21" s="0" t="s">
        <v>48</v>
      </c>
      <c r="C21" s="0" t="s">
        <v>49</v>
      </c>
      <c r="D21" s="1" t="s">
        <v>50</v>
      </c>
      <c r="E21" s="0" t="s">
        <v>51</v>
      </c>
      <c r="F21" s="0" t="n">
        <v>0</v>
      </c>
      <c r="G21" s="0" t="n">
        <v>0</v>
      </c>
      <c r="H21" s="0" t="n">
        <v>0</v>
      </c>
      <c r="I21" s="2" t="n">
        <f aca="false">G21+H21-F21</f>
        <v>0</v>
      </c>
    </row>
    <row r="22" customFormat="false" ht="15" hidden="false" customHeight="false" outlineLevel="0" collapsed="false">
      <c r="A22" s="0" t="n">
        <v>2025</v>
      </c>
      <c r="B22" s="0" t="s">
        <v>52</v>
      </c>
      <c r="C22" s="0" t="s">
        <v>53</v>
      </c>
      <c r="D22" s="1" t="s">
        <v>50</v>
      </c>
      <c r="E22" s="0" t="s">
        <v>54</v>
      </c>
      <c r="F22" s="0" t="n">
        <v>0</v>
      </c>
      <c r="G22" s="0" t="n">
        <v>0</v>
      </c>
      <c r="H22" s="0" t="n">
        <v>0</v>
      </c>
      <c r="I22" s="2" t="n">
        <f aca="false">G22+H22-F22</f>
        <v>0</v>
      </c>
    </row>
    <row r="23" customFormat="false" ht="15" hidden="false" customHeight="false" outlineLevel="0" collapsed="false">
      <c r="A23" s="0" t="n">
        <v>2025</v>
      </c>
      <c r="B23" s="0" t="s">
        <v>55</v>
      </c>
      <c r="C23" s="0" t="s">
        <v>56</v>
      </c>
      <c r="D23" s="1" t="s">
        <v>50</v>
      </c>
      <c r="E23" s="0" t="s">
        <v>57</v>
      </c>
      <c r="F23" s="0" t="n">
        <v>0</v>
      </c>
      <c r="G23" s="0" t="n">
        <v>0</v>
      </c>
      <c r="H23" s="0" t="n">
        <v>0</v>
      </c>
      <c r="I23" s="2" t="n">
        <f aca="false">G23+H23-F23</f>
        <v>0</v>
      </c>
    </row>
    <row r="24" customFormat="false" ht="15" hidden="false" customHeight="false" outlineLevel="0" collapsed="false">
      <c r="A24" s="0" t="n">
        <v>2025</v>
      </c>
      <c r="B24" s="0" t="s">
        <v>58</v>
      </c>
      <c r="C24" s="0" t="s">
        <v>59</v>
      </c>
      <c r="D24" s="1" t="s">
        <v>50</v>
      </c>
      <c r="E24" s="0" t="n">
        <v>721852378</v>
      </c>
      <c r="F24" s="0" t="n">
        <v>0</v>
      </c>
      <c r="G24" s="0" t="n">
        <v>0</v>
      </c>
      <c r="H24" s="0" t="n">
        <v>0</v>
      </c>
      <c r="I24" s="2" t="n">
        <f aca="false">G24+H24-F24</f>
        <v>0</v>
      </c>
    </row>
    <row r="25" customFormat="false" ht="15" hidden="false" customHeight="false" outlineLevel="0" collapsed="false">
      <c r="A25" s="0" t="n">
        <v>2025</v>
      </c>
      <c r="B25" s="0" t="s">
        <v>60</v>
      </c>
      <c r="C25" s="0" t="s">
        <v>61</v>
      </c>
      <c r="D25" s="1" t="s">
        <v>50</v>
      </c>
      <c r="E25" s="0" t="s">
        <v>62</v>
      </c>
      <c r="F25" s="0" t="n">
        <v>0</v>
      </c>
      <c r="G25" s="0" t="n">
        <v>0</v>
      </c>
      <c r="H25" s="0" t="n">
        <v>0</v>
      </c>
      <c r="I25" s="2" t="n">
        <f aca="false">G25+H25-F25</f>
        <v>0</v>
      </c>
    </row>
    <row r="26" customFormat="false" ht="15" hidden="false" customHeight="false" outlineLevel="0" collapsed="false">
      <c r="A26" s="0" t="n">
        <v>2025</v>
      </c>
      <c r="B26" s="0" t="s">
        <v>63</v>
      </c>
      <c r="C26" s="0" t="s">
        <v>64</v>
      </c>
      <c r="D26" s="1" t="s">
        <v>50</v>
      </c>
      <c r="E26" s="0" t="s">
        <v>65</v>
      </c>
      <c r="F26" s="0" t="n">
        <v>0</v>
      </c>
      <c r="G26" s="0" t="n">
        <v>0</v>
      </c>
      <c r="H26" s="3" t="n">
        <v>12000</v>
      </c>
      <c r="I26" s="2" t="n">
        <f aca="false">G26+H26-F26</f>
        <v>12000</v>
      </c>
    </row>
    <row r="27" customFormat="false" ht="15" hidden="false" customHeight="false" outlineLevel="0" collapsed="false">
      <c r="A27" s="0" t="n">
        <v>2025</v>
      </c>
      <c r="B27" s="0" t="s">
        <v>66</v>
      </c>
      <c r="C27" s="0" t="s">
        <v>67</v>
      </c>
      <c r="D27" s="1" t="s">
        <v>50</v>
      </c>
      <c r="E27" s="0" t="n">
        <v>254</v>
      </c>
      <c r="F27" s="0" t="n">
        <v>0</v>
      </c>
      <c r="G27" s="0" t="n">
        <v>0</v>
      </c>
      <c r="H27" s="0" t="n">
        <v>0</v>
      </c>
      <c r="I27" s="2" t="n">
        <f aca="false">G27+H27-F27</f>
        <v>0</v>
      </c>
    </row>
    <row r="28" customFormat="false" ht="15" hidden="false" customHeight="false" outlineLevel="0" collapsed="false">
      <c r="A28" s="0" t="n">
        <v>2025</v>
      </c>
      <c r="B28" s="0" t="s">
        <v>68</v>
      </c>
      <c r="C28" s="0" t="s">
        <v>69</v>
      </c>
      <c r="D28" s="1" t="s">
        <v>50</v>
      </c>
      <c r="E28" s="0" t="n">
        <v>700451180</v>
      </c>
      <c r="F28" s="3" t="n">
        <v>10000</v>
      </c>
      <c r="G28" s="0" t="n">
        <v>0</v>
      </c>
      <c r="H28" s="0" t="n">
        <v>0</v>
      </c>
      <c r="I28" s="2" t="n">
        <f aca="false">G28+H28-F28</f>
        <v>-10000</v>
      </c>
      <c r="L28" s="3"/>
    </row>
    <row r="29" customFormat="false" ht="15" hidden="false" customHeight="false" outlineLevel="0" collapsed="false">
      <c r="A29" s="0" t="n">
        <v>2025</v>
      </c>
      <c r="B29" s="0" t="s">
        <v>70</v>
      </c>
      <c r="C29" s="0" t="s">
        <v>71</v>
      </c>
      <c r="D29" s="1" t="s">
        <v>50</v>
      </c>
      <c r="E29" s="0" t="s">
        <v>72</v>
      </c>
      <c r="F29" s="0" t="n">
        <v>0</v>
      </c>
      <c r="G29" s="0" t="n">
        <v>0</v>
      </c>
      <c r="H29" s="0" t="n">
        <v>0</v>
      </c>
      <c r="I29" s="2" t="n">
        <f aca="false">G29+H29-F29</f>
        <v>0</v>
      </c>
    </row>
    <row r="30" customFormat="false" ht="15" hidden="false" customHeight="false" outlineLevel="0" collapsed="false">
      <c r="A30" s="0" t="n">
        <v>2025</v>
      </c>
      <c r="B30" s="0" t="s">
        <v>73</v>
      </c>
      <c r="C30" s="0" t="s">
        <v>74</v>
      </c>
      <c r="D30" s="1" t="s">
        <v>50</v>
      </c>
      <c r="E30" s="0" t="s">
        <v>75</v>
      </c>
      <c r="F30" s="0" t="n">
        <v>0</v>
      </c>
      <c r="G30" s="0" t="n">
        <v>0</v>
      </c>
      <c r="H30" s="0" t="n">
        <v>0</v>
      </c>
      <c r="I30" s="2" t="n">
        <f aca="false">G30+H30-F30</f>
        <v>0</v>
      </c>
    </row>
    <row r="31" customFormat="false" ht="15" hidden="false" customHeight="false" outlineLevel="0" collapsed="false">
      <c r="A31" s="0" t="n">
        <v>2025</v>
      </c>
      <c r="B31" s="0" t="s">
        <v>76</v>
      </c>
      <c r="C31" s="0" t="s">
        <v>77</v>
      </c>
      <c r="D31" s="1" t="s">
        <v>50</v>
      </c>
      <c r="E31" s="0" t="s">
        <v>78</v>
      </c>
      <c r="F31" s="3" t="n">
        <v>1000</v>
      </c>
      <c r="G31" s="0" t="n">
        <v>0</v>
      </c>
      <c r="H31" s="0" t="n">
        <v>0</v>
      </c>
      <c r="I31" s="2" t="n">
        <f aca="false">G31+H31-F31</f>
        <v>-1000</v>
      </c>
      <c r="L31" s="3"/>
    </row>
    <row r="32" customFormat="false" ht="15" hidden="false" customHeight="false" outlineLevel="0" collapsed="false">
      <c r="A32" s="0" t="n">
        <v>2025</v>
      </c>
      <c r="B32" s="0" t="s">
        <v>79</v>
      </c>
      <c r="C32" s="0" t="s">
        <v>80</v>
      </c>
      <c r="D32" s="1" t="s">
        <v>50</v>
      </c>
      <c r="E32" s="0" t="s">
        <v>81</v>
      </c>
      <c r="F32" s="0" t="n">
        <v>0</v>
      </c>
      <c r="G32" s="0" t="n">
        <v>0</v>
      </c>
      <c r="H32" s="0" t="n">
        <v>0</v>
      </c>
      <c r="I32" s="2" t="n">
        <f aca="false">G32+H32-F32</f>
        <v>0</v>
      </c>
    </row>
    <row r="33" customFormat="false" ht="15" hidden="false" customHeight="false" outlineLevel="0" collapsed="false">
      <c r="A33" s="0" t="n">
        <v>2025</v>
      </c>
      <c r="B33" s="0" t="s">
        <v>82</v>
      </c>
      <c r="C33" s="0" t="s">
        <v>83</v>
      </c>
      <c r="D33" s="1" t="s">
        <v>50</v>
      </c>
      <c r="E33" s="0" t="s">
        <v>84</v>
      </c>
      <c r="F33" s="3" t="n">
        <v>3500</v>
      </c>
      <c r="G33" s="0" t="n">
        <v>0</v>
      </c>
      <c r="H33" s="0" t="n">
        <v>0</v>
      </c>
      <c r="I33" s="2" t="n">
        <f aca="false">G33+H33-F33</f>
        <v>-3500</v>
      </c>
      <c r="L33" s="3"/>
    </row>
    <row r="34" customFormat="false" ht="15" hidden="false" customHeight="false" outlineLevel="0" collapsed="false">
      <c r="A34" s="0" t="n">
        <v>2025</v>
      </c>
      <c r="B34" s="0" t="s">
        <v>85</v>
      </c>
      <c r="C34" s="0" t="s">
        <v>86</v>
      </c>
      <c r="D34" s="1" t="s">
        <v>50</v>
      </c>
      <c r="E34" s="0" t="s">
        <v>87</v>
      </c>
      <c r="F34" s="0" t="n">
        <v>0</v>
      </c>
      <c r="G34" s="0" t="n">
        <v>0</v>
      </c>
      <c r="H34" s="3" t="n">
        <v>5000</v>
      </c>
      <c r="I34" s="2" t="n">
        <f aca="false">G34+H34-F34</f>
        <v>5000</v>
      </c>
    </row>
    <row r="35" customFormat="false" ht="15" hidden="false" customHeight="false" outlineLevel="0" collapsed="false">
      <c r="A35" s="0" t="n">
        <v>2025</v>
      </c>
      <c r="B35" s="0" t="s">
        <v>88</v>
      </c>
      <c r="C35" s="0" t="s">
        <v>89</v>
      </c>
      <c r="D35" s="1" t="s">
        <v>50</v>
      </c>
      <c r="E35" s="0" t="s">
        <v>90</v>
      </c>
      <c r="F35" s="0" t="n">
        <v>0</v>
      </c>
      <c r="G35" s="0" t="n">
        <v>0</v>
      </c>
      <c r="H35" s="3" t="n">
        <v>10000</v>
      </c>
      <c r="I35" s="2" t="n">
        <f aca="false">G35+H35-F35</f>
        <v>10000</v>
      </c>
    </row>
    <row r="36" customFormat="false" ht="15" hidden="false" customHeight="false" outlineLevel="0" collapsed="false">
      <c r="A36" s="0" t="n">
        <v>2025</v>
      </c>
      <c r="B36" s="0" t="s">
        <v>91</v>
      </c>
      <c r="C36" s="0" t="s">
        <v>92</v>
      </c>
      <c r="D36" s="1" t="s">
        <v>50</v>
      </c>
      <c r="E36" s="0" t="n">
        <v>254</v>
      </c>
      <c r="F36" s="0" t="n">
        <v>0</v>
      </c>
      <c r="G36" s="0" t="n">
        <v>0</v>
      </c>
      <c r="H36" s="0" t="n">
        <v>0</v>
      </c>
      <c r="I36" s="2" t="n">
        <f aca="false">G36+H36-F36</f>
        <v>0</v>
      </c>
    </row>
    <row r="37" customFormat="false" ht="15" hidden="false" customHeight="false" outlineLevel="0" collapsed="false">
      <c r="A37" s="0" t="n">
        <v>2025</v>
      </c>
      <c r="B37" s="0" t="s">
        <v>93</v>
      </c>
      <c r="C37" s="0" t="s">
        <v>94</v>
      </c>
      <c r="D37" s="1" t="s">
        <v>50</v>
      </c>
      <c r="E37" s="0" t="s">
        <v>95</v>
      </c>
      <c r="F37" s="0" t="n">
        <v>0</v>
      </c>
      <c r="G37" s="0" t="n">
        <v>0</v>
      </c>
      <c r="H37" s="0" t="n">
        <v>0</v>
      </c>
      <c r="I37" s="2" t="n">
        <f aca="false">G37+H37-F37</f>
        <v>0</v>
      </c>
    </row>
    <row r="38" customFormat="false" ht="15" hidden="false" customHeight="false" outlineLevel="0" collapsed="false">
      <c r="A38" s="0" t="n">
        <v>2025</v>
      </c>
      <c r="B38" s="0" t="s">
        <v>96</v>
      </c>
      <c r="C38" s="0" t="s">
        <v>97</v>
      </c>
      <c r="D38" s="1" t="s">
        <v>50</v>
      </c>
      <c r="E38" s="0" t="s">
        <v>98</v>
      </c>
      <c r="F38" s="0" t="n">
        <v>0</v>
      </c>
      <c r="G38" s="0" t="n">
        <v>0</v>
      </c>
      <c r="H38" s="3" t="n">
        <v>1000</v>
      </c>
      <c r="I38" s="2" t="n">
        <f aca="false">G38+H38-F38</f>
        <v>1000</v>
      </c>
    </row>
    <row r="39" customFormat="false" ht="15" hidden="false" customHeight="false" outlineLevel="0" collapsed="false">
      <c r="A39" s="0" t="n">
        <v>2025</v>
      </c>
      <c r="B39" s="0" t="s">
        <v>99</v>
      </c>
      <c r="C39" s="0" t="s">
        <v>100</v>
      </c>
      <c r="D39" s="1" t="s">
        <v>50</v>
      </c>
      <c r="E39" s="0" t="s">
        <v>101</v>
      </c>
      <c r="F39" s="0" t="n">
        <v>0</v>
      </c>
      <c r="G39" s="0" t="n">
        <v>0</v>
      </c>
      <c r="H39" s="0" t="n">
        <v>0</v>
      </c>
      <c r="I39" s="2" t="n">
        <f aca="false">G39+H39-F39</f>
        <v>0</v>
      </c>
    </row>
    <row r="40" customFormat="false" ht="15" hidden="false" customHeight="false" outlineLevel="0" collapsed="false">
      <c r="A40" s="0" t="n">
        <v>2025</v>
      </c>
      <c r="B40" s="0" t="s">
        <v>102</v>
      </c>
      <c r="C40" s="0" t="s">
        <v>103</v>
      </c>
      <c r="D40" s="1" t="s">
        <v>50</v>
      </c>
      <c r="E40" s="0" t="s">
        <v>104</v>
      </c>
      <c r="F40" s="3" t="n">
        <v>1000</v>
      </c>
      <c r="G40" s="0" t="n">
        <v>0</v>
      </c>
      <c r="H40" s="0" t="n">
        <v>0</v>
      </c>
      <c r="I40" s="2" t="n">
        <f aca="false">G40+H40-F40</f>
        <v>-1000</v>
      </c>
      <c r="L40" s="3"/>
    </row>
    <row r="41" customFormat="false" ht="15" hidden="false" customHeight="false" outlineLevel="0" collapsed="false">
      <c r="A41" s="0" t="n">
        <v>2025</v>
      </c>
      <c r="B41" s="0" t="s">
        <v>105</v>
      </c>
      <c r="C41" s="0" t="s">
        <v>106</v>
      </c>
      <c r="D41" s="1" t="s">
        <v>50</v>
      </c>
      <c r="E41" s="0" t="s">
        <v>107</v>
      </c>
      <c r="F41" s="0" t="n">
        <v>0</v>
      </c>
      <c r="G41" s="0" t="n">
        <v>0</v>
      </c>
      <c r="H41" s="0" t="n">
        <v>0</v>
      </c>
      <c r="I41" s="2" t="n">
        <f aca="false">G41+H41-F41</f>
        <v>0</v>
      </c>
    </row>
    <row r="42" customFormat="false" ht="15" hidden="false" customHeight="false" outlineLevel="0" collapsed="false">
      <c r="B42" s="0" t="s">
        <v>108</v>
      </c>
      <c r="C42" s="0" t="s">
        <v>109</v>
      </c>
      <c r="D42" s="1" t="s">
        <v>50</v>
      </c>
      <c r="E42" s="0" t="s">
        <v>110</v>
      </c>
      <c r="F42" s="0" t="n">
        <v>0</v>
      </c>
      <c r="G42" s="0" t="n">
        <v>31000</v>
      </c>
      <c r="H42" s="0" t="n">
        <v>37500</v>
      </c>
      <c r="I42" s="2" t="n">
        <f aca="false">G42+H42-F42</f>
        <v>68500</v>
      </c>
    </row>
    <row r="43" customFormat="false" ht="15" hidden="false" customHeight="false" outlineLevel="0" collapsed="false">
      <c r="A43" s="0" t="n">
        <v>2025</v>
      </c>
      <c r="B43" s="0" t="s">
        <v>111</v>
      </c>
      <c r="C43" s="0" t="s">
        <v>112</v>
      </c>
      <c r="D43" s="1" t="s">
        <v>113</v>
      </c>
      <c r="E43" s="0" t="n">
        <v>254</v>
      </c>
      <c r="F43" s="0" t="n">
        <v>0</v>
      </c>
      <c r="G43" s="0" t="n">
        <v>0</v>
      </c>
      <c r="H43" s="0" t="n">
        <v>0</v>
      </c>
      <c r="I43" s="2" t="n">
        <f aca="false">G43+H43-F43</f>
        <v>0</v>
      </c>
    </row>
    <row r="44" customFormat="false" ht="15" hidden="false" customHeight="false" outlineLevel="0" collapsed="false">
      <c r="A44" s="0" t="n">
        <v>2025</v>
      </c>
      <c r="B44" s="0" t="s">
        <v>114</v>
      </c>
      <c r="C44" s="0" t="s">
        <v>115</v>
      </c>
      <c r="D44" s="1" t="s">
        <v>113</v>
      </c>
      <c r="E44" s="0" t="n">
        <v>254</v>
      </c>
      <c r="F44" s="0" t="n">
        <v>0</v>
      </c>
      <c r="G44" s="0" t="n">
        <v>0</v>
      </c>
      <c r="H44" s="3" t="n">
        <v>4000</v>
      </c>
      <c r="I44" s="2" t="n">
        <f aca="false">G44+H44-F44</f>
        <v>4000</v>
      </c>
    </row>
    <row r="45" customFormat="false" ht="15" hidden="false" customHeight="false" outlineLevel="0" collapsed="false">
      <c r="A45" s="0" t="n">
        <v>2025</v>
      </c>
      <c r="B45" s="0" t="s">
        <v>116</v>
      </c>
      <c r="C45" s="0" t="s">
        <v>117</v>
      </c>
      <c r="D45" s="1" t="s">
        <v>113</v>
      </c>
      <c r="E45" s="0" t="n">
        <v>254</v>
      </c>
      <c r="F45" s="0" t="n">
        <v>0</v>
      </c>
      <c r="G45" s="0" t="n">
        <v>0</v>
      </c>
      <c r="H45" s="0" t="n">
        <v>0</v>
      </c>
      <c r="I45" s="2" t="n">
        <f aca="false">G45+H45-F45</f>
        <v>0</v>
      </c>
    </row>
    <row r="46" customFormat="false" ht="15" hidden="false" customHeight="false" outlineLevel="0" collapsed="false">
      <c r="A46" s="0" t="n">
        <v>2025</v>
      </c>
      <c r="B46" s="0" t="s">
        <v>118</v>
      </c>
      <c r="C46" s="0" t="s">
        <v>119</v>
      </c>
      <c r="D46" s="1" t="s">
        <v>113</v>
      </c>
      <c r="E46" s="0" t="n">
        <v>254</v>
      </c>
      <c r="F46" s="0" t="n">
        <v>500</v>
      </c>
      <c r="G46" s="0" t="n">
        <v>0</v>
      </c>
      <c r="H46" s="0" t="n">
        <v>0</v>
      </c>
      <c r="I46" s="2" t="n">
        <f aca="false">G46+H46-F46</f>
        <v>-500</v>
      </c>
    </row>
    <row r="47" customFormat="false" ht="15" hidden="false" customHeight="false" outlineLevel="0" collapsed="false">
      <c r="A47" s="0" t="n">
        <v>2025</v>
      </c>
      <c r="B47" s="0" t="s">
        <v>120</v>
      </c>
      <c r="C47" s="0" t="s">
        <v>121</v>
      </c>
      <c r="D47" s="1" t="s">
        <v>113</v>
      </c>
      <c r="E47" s="0" t="n">
        <v>254</v>
      </c>
      <c r="F47" s="0" t="n">
        <v>0</v>
      </c>
      <c r="G47" s="0" t="n">
        <v>0</v>
      </c>
      <c r="H47" s="3" t="n">
        <v>3000</v>
      </c>
      <c r="I47" s="2" t="n">
        <f aca="false">G47+H47-F47</f>
        <v>3000</v>
      </c>
    </row>
    <row r="48" customFormat="false" ht="15" hidden="false" customHeight="false" outlineLevel="0" collapsed="false">
      <c r="A48" s="0" t="n">
        <v>2025</v>
      </c>
      <c r="B48" s="0" t="s">
        <v>122</v>
      </c>
      <c r="C48" s="0" t="s">
        <v>123</v>
      </c>
      <c r="D48" s="1" t="s">
        <v>113</v>
      </c>
      <c r="E48" s="0" t="n">
        <v>254</v>
      </c>
      <c r="F48" s="0" t="n">
        <v>0</v>
      </c>
      <c r="G48" s="0" t="n">
        <v>0</v>
      </c>
      <c r="H48" s="0" t="n">
        <v>0</v>
      </c>
      <c r="I48" s="2" t="n">
        <f aca="false">G48+H48-F48</f>
        <v>0</v>
      </c>
    </row>
    <row r="49" customFormat="false" ht="15.75" hidden="false" customHeight="false" outlineLevel="0" collapsed="false">
      <c r="A49" s="0" t="n">
        <v>2025</v>
      </c>
      <c r="B49" s="0" t="s">
        <v>124</v>
      </c>
      <c r="C49" s="0" t="s">
        <v>125</v>
      </c>
      <c r="D49" s="1" t="s">
        <v>113</v>
      </c>
      <c r="E49" s="0" t="n">
        <v>254</v>
      </c>
      <c r="F49" s="0" t="n">
        <v>0</v>
      </c>
      <c r="G49" s="0" t="n">
        <v>0</v>
      </c>
      <c r="H49" s="3" t="n">
        <v>4000</v>
      </c>
      <c r="I49" s="2" t="n">
        <f aca="false">G49+H49-F49</f>
        <v>4000</v>
      </c>
    </row>
    <row r="50" customFormat="false" ht="15.75" hidden="false" customHeight="false" outlineLevel="0" collapsed="false">
      <c r="A50" s="0" t="n">
        <v>2025</v>
      </c>
      <c r="B50" s="0" t="s">
        <v>126</v>
      </c>
      <c r="C50" s="0" t="s">
        <v>127</v>
      </c>
      <c r="D50" s="1" t="s">
        <v>113</v>
      </c>
      <c r="E50" s="0" t="n">
        <v>254</v>
      </c>
      <c r="F50" s="0" t="n">
        <v>0</v>
      </c>
      <c r="G50" s="0" t="n">
        <v>0</v>
      </c>
      <c r="H50" s="0" t="n">
        <v>0</v>
      </c>
      <c r="I50" s="2" t="n">
        <f aca="false">G50+H50-F50</f>
        <v>0</v>
      </c>
    </row>
    <row r="51" customFormat="false" ht="15.75" hidden="false" customHeight="false" outlineLevel="0" collapsed="false">
      <c r="A51" s="0" t="n">
        <v>2025</v>
      </c>
      <c r="B51" s="0" t="s">
        <v>128</v>
      </c>
      <c r="C51" s="0" t="s">
        <v>129</v>
      </c>
      <c r="D51" s="1" t="s">
        <v>113</v>
      </c>
      <c r="E51" s="0" t="n">
        <v>254</v>
      </c>
      <c r="F51" s="0" t="n">
        <v>0</v>
      </c>
      <c r="G51" s="0" t="n">
        <v>0</v>
      </c>
      <c r="H51" s="0" t="n">
        <v>0</v>
      </c>
      <c r="I51" s="2" t="n">
        <f aca="false">G51+H51-F51</f>
        <v>0</v>
      </c>
    </row>
    <row r="52" customFormat="false" ht="15.75" hidden="false" customHeight="false" outlineLevel="0" collapsed="false">
      <c r="A52" s="0" t="n">
        <v>2025</v>
      </c>
      <c r="B52" s="0" t="s">
        <v>130</v>
      </c>
      <c r="C52" s="0" t="s">
        <v>131</v>
      </c>
      <c r="D52" s="1" t="s">
        <v>113</v>
      </c>
      <c r="E52" s="0" t="n">
        <v>254</v>
      </c>
      <c r="F52" s="0" t="n">
        <v>0</v>
      </c>
      <c r="G52" s="0" t="n">
        <v>0</v>
      </c>
      <c r="H52" s="0" t="n">
        <v>0</v>
      </c>
      <c r="I52" s="2" t="n">
        <f aca="false">G52+H52-F52</f>
        <v>0</v>
      </c>
    </row>
    <row r="53" customFormat="false" ht="15.75" hidden="false" customHeight="false" outlineLevel="0" collapsed="false">
      <c r="A53" s="0" t="n">
        <v>2025</v>
      </c>
      <c r="B53" s="0" t="s">
        <v>132</v>
      </c>
      <c r="C53" s="0" t="s">
        <v>133</v>
      </c>
      <c r="D53" s="1" t="s">
        <v>113</v>
      </c>
      <c r="E53" s="0" t="n">
        <v>254</v>
      </c>
      <c r="F53" s="0" t="n">
        <v>0</v>
      </c>
      <c r="G53" s="0" t="n">
        <v>0</v>
      </c>
      <c r="H53" s="0" t="n">
        <v>0</v>
      </c>
      <c r="I53" s="2" t="n">
        <f aca="false">G53+H53-F53</f>
        <v>0</v>
      </c>
    </row>
    <row r="54" customFormat="false" ht="15.75" hidden="false" customHeight="false" outlineLevel="0" collapsed="false">
      <c r="A54" s="0" t="n">
        <v>2025</v>
      </c>
      <c r="B54" s="0" t="s">
        <v>134</v>
      </c>
      <c r="C54" s="0" t="s">
        <v>135</v>
      </c>
      <c r="D54" s="1" t="s">
        <v>113</v>
      </c>
      <c r="E54" s="0" t="n">
        <v>254</v>
      </c>
      <c r="F54" s="0" t="n">
        <v>0</v>
      </c>
      <c r="G54" s="0" t="n">
        <v>0</v>
      </c>
      <c r="H54" s="0" t="n">
        <v>0</v>
      </c>
      <c r="I54" s="2" t="n">
        <f aca="false">G54+H54-F54</f>
        <v>0</v>
      </c>
    </row>
    <row r="55" customFormat="false" ht="15.75" hidden="false" customHeight="false" outlineLevel="0" collapsed="false">
      <c r="A55" s="0" t="n">
        <v>2025</v>
      </c>
      <c r="B55" s="0" t="s">
        <v>136</v>
      </c>
      <c r="C55" s="0" t="s">
        <v>137</v>
      </c>
      <c r="D55" s="1" t="s">
        <v>113</v>
      </c>
      <c r="E55" s="0" t="n">
        <v>254</v>
      </c>
      <c r="F55" s="0" t="n">
        <v>0</v>
      </c>
      <c r="G55" s="0" t="n">
        <v>0</v>
      </c>
      <c r="H55" s="3" t="n">
        <v>12000</v>
      </c>
      <c r="I55" s="2" t="n">
        <f aca="false">G55+H55-F55</f>
        <v>12000</v>
      </c>
    </row>
    <row r="56" customFormat="false" ht="15.75" hidden="false" customHeight="false" outlineLevel="0" collapsed="false">
      <c r="A56" s="0" t="n">
        <v>2025</v>
      </c>
      <c r="B56" s="0" t="s">
        <v>138</v>
      </c>
      <c r="C56" s="0" t="s">
        <v>139</v>
      </c>
      <c r="D56" s="1" t="s">
        <v>113</v>
      </c>
      <c r="E56" s="0" t="n">
        <v>254</v>
      </c>
      <c r="F56" s="0" t="n">
        <v>0</v>
      </c>
      <c r="G56" s="0" t="n">
        <v>0</v>
      </c>
      <c r="H56" s="0" t="n">
        <v>0</v>
      </c>
      <c r="I56" s="2" t="n">
        <f aca="false">G56+H56-F56</f>
        <v>0</v>
      </c>
    </row>
    <row r="57" customFormat="false" ht="15.75" hidden="false" customHeight="false" outlineLevel="0" collapsed="false">
      <c r="A57" s="0" t="n">
        <v>2025</v>
      </c>
      <c r="B57" s="0" t="s">
        <v>140</v>
      </c>
      <c r="C57" s="0" t="s">
        <v>141</v>
      </c>
      <c r="D57" s="1" t="s">
        <v>113</v>
      </c>
      <c r="E57" s="0" t="n">
        <v>254</v>
      </c>
      <c r="F57" s="0" t="n">
        <v>0</v>
      </c>
      <c r="G57" s="0" t="n">
        <v>0</v>
      </c>
      <c r="H57" s="0" t="n">
        <v>0</v>
      </c>
      <c r="I57" s="2" t="n">
        <f aca="false">G57+H57-F57</f>
        <v>0</v>
      </c>
    </row>
    <row r="58" customFormat="false" ht="15.75" hidden="false" customHeight="false" outlineLevel="0" collapsed="false">
      <c r="A58" s="0" t="n">
        <v>2025</v>
      </c>
      <c r="B58" s="0" t="s">
        <v>142</v>
      </c>
      <c r="C58" s="0" t="s">
        <v>143</v>
      </c>
      <c r="D58" s="1" t="s">
        <v>113</v>
      </c>
      <c r="E58" s="0" t="n">
        <v>254</v>
      </c>
      <c r="F58" s="0" t="n">
        <v>0</v>
      </c>
      <c r="G58" s="3" t="n">
        <v>3275</v>
      </c>
      <c r="H58" s="3" t="n">
        <v>15500</v>
      </c>
      <c r="I58" s="2" t="n">
        <f aca="false">G58+H58-F58</f>
        <v>18775</v>
      </c>
    </row>
    <row r="59" customFormat="false" ht="15.75" hidden="false" customHeight="false" outlineLevel="0" collapsed="false">
      <c r="A59" s="0" t="n">
        <v>2025</v>
      </c>
      <c r="B59" s="0" t="s">
        <v>144</v>
      </c>
      <c r="C59" s="0" t="s">
        <v>145</v>
      </c>
      <c r="D59" s="1" t="s">
        <v>113</v>
      </c>
      <c r="E59" s="0" t="n">
        <v>254</v>
      </c>
      <c r="F59" s="0" t="n">
        <v>0</v>
      </c>
      <c r="G59" s="0" t="n">
        <v>0</v>
      </c>
      <c r="H59" s="0" t="n">
        <v>0</v>
      </c>
      <c r="I59" s="2" t="n">
        <f aca="false">G59+H59-F59</f>
        <v>0</v>
      </c>
    </row>
    <row r="60" customFormat="false" ht="15.75" hidden="false" customHeight="false" outlineLevel="0" collapsed="false">
      <c r="A60" s="0" t="n">
        <v>2025</v>
      </c>
      <c r="B60" s="0" t="s">
        <v>146</v>
      </c>
      <c r="C60" s="0" t="s">
        <v>147</v>
      </c>
      <c r="D60" s="1" t="s">
        <v>113</v>
      </c>
      <c r="E60" s="0" t="n">
        <v>254</v>
      </c>
      <c r="F60" s="0" t="n">
        <v>0</v>
      </c>
      <c r="G60" s="0" t="n">
        <v>0</v>
      </c>
      <c r="H60" s="3" t="n">
        <v>3000</v>
      </c>
      <c r="I60" s="2" t="n">
        <f aca="false">G60+H60-F60</f>
        <v>3000</v>
      </c>
    </row>
    <row r="61" customFormat="false" ht="15.75" hidden="false" customHeight="false" outlineLevel="0" collapsed="false">
      <c r="A61" s="0" t="n">
        <v>2025</v>
      </c>
      <c r="B61" s="0" t="s">
        <v>148</v>
      </c>
      <c r="C61" s="0" t="s">
        <v>149</v>
      </c>
      <c r="D61" s="1" t="s">
        <v>113</v>
      </c>
      <c r="E61" s="0" t="s">
        <v>150</v>
      </c>
      <c r="F61" s="0" t="n">
        <v>0</v>
      </c>
      <c r="G61" s="0" t="n">
        <v>0</v>
      </c>
      <c r="H61" s="0" t="n">
        <v>0</v>
      </c>
      <c r="I61" s="2" t="n">
        <f aca="false">G61+H61-F61</f>
        <v>0</v>
      </c>
    </row>
    <row r="62" customFormat="false" ht="15.75" hidden="false" customHeight="false" outlineLevel="0" collapsed="false">
      <c r="A62" s="0" t="n">
        <v>2025</v>
      </c>
      <c r="B62" s="0" t="s">
        <v>151</v>
      </c>
      <c r="C62" s="0" t="s">
        <v>152</v>
      </c>
      <c r="D62" s="1" t="s">
        <v>113</v>
      </c>
      <c r="E62" s="0" t="n">
        <v>254</v>
      </c>
      <c r="F62" s="0" t="n">
        <v>0</v>
      </c>
      <c r="G62" s="0" t="n">
        <v>0</v>
      </c>
      <c r="H62" s="0" t="n">
        <v>0</v>
      </c>
      <c r="I62" s="2" t="n">
        <f aca="false">G62+H62-F62</f>
        <v>0</v>
      </c>
    </row>
    <row r="63" customFormat="false" ht="15.75" hidden="false" customHeight="false" outlineLevel="0" collapsed="false">
      <c r="A63" s="0" t="n">
        <v>2025</v>
      </c>
      <c r="B63" s="0" t="s">
        <v>153</v>
      </c>
      <c r="C63" s="0" t="s">
        <v>154</v>
      </c>
      <c r="D63" s="1" t="s">
        <v>113</v>
      </c>
      <c r="E63" s="0" t="n">
        <v>254</v>
      </c>
      <c r="F63" s="0" t="n">
        <v>0</v>
      </c>
      <c r="G63" s="3" t="n">
        <v>9750</v>
      </c>
      <c r="H63" s="3" t="n">
        <v>34500</v>
      </c>
      <c r="I63" s="2" t="n">
        <f aca="false">G63+H63-F63</f>
        <v>44250</v>
      </c>
    </row>
    <row r="64" customFormat="false" ht="15.75" hidden="false" customHeight="false" outlineLevel="0" collapsed="false">
      <c r="A64" s="0" t="n">
        <v>2025</v>
      </c>
      <c r="B64" s="0" t="s">
        <v>155</v>
      </c>
      <c r="C64" s="0" t="s">
        <v>156</v>
      </c>
      <c r="D64" s="1" t="s">
        <v>113</v>
      </c>
      <c r="E64" s="0" t="n">
        <v>254</v>
      </c>
      <c r="F64" s="0" t="n">
        <v>0</v>
      </c>
      <c r="G64" s="0" t="n">
        <v>0</v>
      </c>
      <c r="H64" s="0" t="n">
        <v>0</v>
      </c>
      <c r="I64" s="2" t="n">
        <f aca="false">G64+H64-F64</f>
        <v>0</v>
      </c>
    </row>
    <row r="65" customFormat="false" ht="15.75" hidden="false" customHeight="false" outlineLevel="0" collapsed="false">
      <c r="A65" s="0" t="n">
        <v>2025</v>
      </c>
      <c r="B65" s="0" t="s">
        <v>157</v>
      </c>
      <c r="C65" s="0" t="s">
        <v>158</v>
      </c>
      <c r="D65" s="1" t="s">
        <v>113</v>
      </c>
      <c r="E65" s="0" t="n">
        <v>254</v>
      </c>
      <c r="F65" s="0" t="n">
        <v>0</v>
      </c>
      <c r="G65" s="0" t="n">
        <v>0</v>
      </c>
      <c r="H65" s="3" t="n">
        <v>5000</v>
      </c>
      <c r="I65" s="2" t="n">
        <f aca="false">G65+H65-F65</f>
        <v>5000</v>
      </c>
    </row>
    <row r="66" customFormat="false" ht="15.75" hidden="false" customHeight="false" outlineLevel="0" collapsed="false">
      <c r="A66" s="0" t="n">
        <v>2025</v>
      </c>
      <c r="B66" s="0" t="s">
        <v>159</v>
      </c>
      <c r="C66" s="0" t="s">
        <v>160</v>
      </c>
      <c r="D66" s="1" t="s">
        <v>161</v>
      </c>
      <c r="E66" s="0" t="n">
        <v>254</v>
      </c>
      <c r="F66" s="0" t="n">
        <v>0</v>
      </c>
      <c r="G66" s="0" t="n">
        <v>0</v>
      </c>
      <c r="H66" s="0" t="n">
        <v>0</v>
      </c>
      <c r="I66" s="2" t="n">
        <f aca="false">G66+H66-F66</f>
        <v>0</v>
      </c>
    </row>
    <row r="67" customFormat="false" ht="15.75" hidden="false" customHeight="false" outlineLevel="0" collapsed="false">
      <c r="A67" s="0" t="n">
        <v>2025</v>
      </c>
      <c r="B67" s="0" t="s">
        <v>162</v>
      </c>
      <c r="C67" s="0" t="s">
        <v>163</v>
      </c>
      <c r="D67" s="1" t="s">
        <v>161</v>
      </c>
      <c r="E67" s="0" t="n">
        <v>254</v>
      </c>
      <c r="F67" s="0" t="n">
        <v>0</v>
      </c>
      <c r="G67" s="0" t="n">
        <v>0</v>
      </c>
      <c r="H67" s="0" t="n">
        <v>0</v>
      </c>
      <c r="I67" s="2" t="n">
        <f aca="false">G67+H67-F67</f>
        <v>0</v>
      </c>
    </row>
    <row r="68" customFormat="false" ht="15.75" hidden="false" customHeight="false" outlineLevel="0" collapsed="false">
      <c r="A68" s="0" t="n">
        <v>2025</v>
      </c>
      <c r="B68" s="0" t="s">
        <v>164</v>
      </c>
      <c r="C68" s="0" t="s">
        <v>165</v>
      </c>
      <c r="D68" s="1" t="s">
        <v>161</v>
      </c>
      <c r="E68" s="0" t="n">
        <v>254</v>
      </c>
      <c r="F68" s="0" t="n">
        <v>0</v>
      </c>
      <c r="G68" s="0" t="n">
        <v>0</v>
      </c>
      <c r="H68" s="0" t="n">
        <v>0</v>
      </c>
      <c r="I68" s="2" t="n">
        <f aca="false">G68+H68-F68</f>
        <v>0</v>
      </c>
    </row>
    <row r="69" customFormat="false" ht="15.75" hidden="false" customHeight="false" outlineLevel="0" collapsed="false">
      <c r="A69" s="0" t="n">
        <v>2025</v>
      </c>
      <c r="B69" s="0" t="s">
        <v>166</v>
      </c>
      <c r="C69" s="0" t="s">
        <v>167</v>
      </c>
      <c r="D69" s="1" t="s">
        <v>161</v>
      </c>
      <c r="E69" s="0" t="n">
        <v>254</v>
      </c>
      <c r="F69" s="0" t="n">
        <v>0</v>
      </c>
      <c r="G69" s="0" t="n">
        <v>0</v>
      </c>
      <c r="H69" s="0" t="n">
        <v>0</v>
      </c>
      <c r="I69" s="2" t="n">
        <f aca="false">G69+H69-F69</f>
        <v>0</v>
      </c>
    </row>
    <row r="70" customFormat="false" ht="15.75" hidden="false" customHeight="false" outlineLevel="0" collapsed="false">
      <c r="A70" s="0" t="n">
        <v>2025</v>
      </c>
      <c r="B70" s="0" t="s">
        <v>168</v>
      </c>
      <c r="C70" s="0" t="s">
        <v>169</v>
      </c>
      <c r="D70" s="1" t="s">
        <v>161</v>
      </c>
      <c r="E70" s="0" t="n">
        <v>254</v>
      </c>
      <c r="F70" s="0" t="n">
        <v>0</v>
      </c>
      <c r="G70" s="0" t="n">
        <v>0</v>
      </c>
      <c r="H70" s="3" t="n">
        <v>2300</v>
      </c>
      <c r="I70" s="2" t="n">
        <f aca="false">G70+H70-F70</f>
        <v>2300</v>
      </c>
    </row>
    <row r="71" customFormat="false" ht="15.75" hidden="false" customHeight="false" outlineLevel="0" collapsed="false">
      <c r="A71" s="0" t="n">
        <v>2025</v>
      </c>
      <c r="B71" s="0" t="s">
        <v>170</v>
      </c>
      <c r="C71" s="0" t="s">
        <v>171</v>
      </c>
      <c r="D71" s="1" t="s">
        <v>161</v>
      </c>
      <c r="E71" s="0" t="n">
        <v>254</v>
      </c>
      <c r="F71" s="0" t="n">
        <v>0</v>
      </c>
      <c r="G71" s="0" t="n">
        <v>0</v>
      </c>
      <c r="H71" s="0" t="n">
        <v>0</v>
      </c>
      <c r="I71" s="2" t="n">
        <f aca="false">G71+H71-F71</f>
        <v>0</v>
      </c>
    </row>
    <row r="72" customFormat="false" ht="15.75" hidden="false" customHeight="false" outlineLevel="0" collapsed="false">
      <c r="A72" s="0" t="n">
        <v>2025</v>
      </c>
      <c r="B72" s="0" t="s">
        <v>172</v>
      </c>
      <c r="C72" s="0" t="s">
        <v>173</v>
      </c>
      <c r="D72" s="1" t="s">
        <v>161</v>
      </c>
      <c r="E72" s="0" t="n">
        <v>254</v>
      </c>
      <c r="F72" s="0" t="n">
        <v>0</v>
      </c>
      <c r="G72" s="0" t="n">
        <v>0</v>
      </c>
      <c r="H72" s="0" t="n">
        <v>0</v>
      </c>
      <c r="I72" s="2" t="n">
        <f aca="false">G72+H72-F72</f>
        <v>0</v>
      </c>
    </row>
    <row r="73" customFormat="false" ht="15.75" hidden="false" customHeight="false" outlineLevel="0" collapsed="false">
      <c r="A73" s="0" t="n">
        <v>2025</v>
      </c>
      <c r="B73" s="0" t="s">
        <v>174</v>
      </c>
      <c r="C73" s="0" t="s">
        <v>175</v>
      </c>
      <c r="D73" s="1" t="s">
        <v>161</v>
      </c>
      <c r="E73" s="0" t="n">
        <v>254</v>
      </c>
      <c r="F73" s="0" t="n">
        <v>0</v>
      </c>
      <c r="G73" s="0" t="n">
        <v>0</v>
      </c>
      <c r="H73" s="0" t="n">
        <v>0</v>
      </c>
      <c r="I73" s="2" t="n">
        <f aca="false">G73+H73-F73</f>
        <v>0</v>
      </c>
    </row>
    <row r="74" customFormat="false" ht="15.75" hidden="false" customHeight="false" outlineLevel="0" collapsed="false">
      <c r="A74" s="0" t="n">
        <v>2025</v>
      </c>
      <c r="B74" s="0" t="s">
        <v>176</v>
      </c>
      <c r="C74" s="0" t="s">
        <v>177</v>
      </c>
      <c r="D74" s="1" t="s">
        <v>161</v>
      </c>
      <c r="E74" s="0" t="n">
        <v>254</v>
      </c>
      <c r="F74" s="0" t="n">
        <v>0</v>
      </c>
      <c r="G74" s="0" t="n">
        <v>0</v>
      </c>
      <c r="H74" s="0" t="n">
        <v>0</v>
      </c>
      <c r="I74" s="2" t="n">
        <f aca="false">G74+H74-F74</f>
        <v>0</v>
      </c>
    </row>
    <row r="75" customFormat="false" ht="15.75" hidden="false" customHeight="false" outlineLevel="0" collapsed="false">
      <c r="A75" s="0" t="n">
        <v>2025</v>
      </c>
      <c r="B75" s="0" t="s">
        <v>178</v>
      </c>
      <c r="C75" s="0" t="s">
        <v>179</v>
      </c>
      <c r="D75" s="1" t="s">
        <v>161</v>
      </c>
      <c r="E75" s="0" t="n">
        <v>254</v>
      </c>
      <c r="F75" s="0" t="n">
        <v>0</v>
      </c>
      <c r="G75" s="0" t="n">
        <v>0</v>
      </c>
      <c r="H75" s="0" t="n">
        <v>0</v>
      </c>
      <c r="I75" s="2" t="n">
        <f aca="false">G75+H75-F75</f>
        <v>0</v>
      </c>
    </row>
    <row r="76" customFormat="false" ht="15.75" hidden="false" customHeight="false" outlineLevel="0" collapsed="false">
      <c r="A76" s="0" t="n">
        <v>2025</v>
      </c>
      <c r="B76" s="0" t="s">
        <v>180</v>
      </c>
      <c r="C76" s="0" t="s">
        <v>181</v>
      </c>
      <c r="D76" s="1" t="s">
        <v>161</v>
      </c>
      <c r="E76" s="0" t="n">
        <v>254</v>
      </c>
      <c r="F76" s="0" t="n">
        <v>0</v>
      </c>
      <c r="G76" s="0" t="n">
        <v>0</v>
      </c>
      <c r="H76" s="0" t="n">
        <v>0</v>
      </c>
      <c r="I76" s="2" t="n">
        <f aca="false">G76+H76-F76</f>
        <v>0</v>
      </c>
    </row>
    <row r="77" customFormat="false" ht="15.75" hidden="false" customHeight="false" outlineLevel="0" collapsed="false">
      <c r="A77" s="0" t="n">
        <v>2025</v>
      </c>
      <c r="B77" s="0" t="s">
        <v>182</v>
      </c>
      <c r="C77" s="0" t="s">
        <v>183</v>
      </c>
      <c r="D77" s="1" t="s">
        <v>161</v>
      </c>
      <c r="E77" s="0" t="n">
        <v>254</v>
      </c>
      <c r="F77" s="0" t="n">
        <v>0</v>
      </c>
      <c r="G77" s="0" t="n">
        <v>0</v>
      </c>
      <c r="H77" s="0" t="n">
        <v>0</v>
      </c>
      <c r="I77" s="2" t="n">
        <f aca="false">G77+H77-F77</f>
        <v>0</v>
      </c>
    </row>
    <row r="78" customFormat="false" ht="15.75" hidden="false" customHeight="false" outlineLevel="0" collapsed="false">
      <c r="A78" s="0" t="n">
        <v>2025</v>
      </c>
      <c r="B78" s="0" t="s">
        <v>184</v>
      </c>
      <c r="C78" s="0" t="s">
        <v>185</v>
      </c>
      <c r="D78" s="1" t="s">
        <v>161</v>
      </c>
      <c r="E78" s="0" t="n">
        <v>254</v>
      </c>
      <c r="F78" s="0" t="n">
        <v>0</v>
      </c>
      <c r="G78" s="0" t="n">
        <v>0</v>
      </c>
      <c r="H78" s="0" t="n">
        <v>0</v>
      </c>
      <c r="I78" s="2" t="n">
        <f aca="false">G78+H78-F78</f>
        <v>0</v>
      </c>
    </row>
    <row r="79" customFormat="false" ht="15.75" hidden="false" customHeight="false" outlineLevel="0" collapsed="false">
      <c r="A79" s="0" t="n">
        <v>2025</v>
      </c>
      <c r="B79" s="0" t="s">
        <v>186</v>
      </c>
      <c r="C79" s="0" t="s">
        <v>187</v>
      </c>
      <c r="D79" s="1" t="s">
        <v>161</v>
      </c>
      <c r="E79" s="0" t="n">
        <v>254</v>
      </c>
      <c r="F79" s="0" t="n">
        <v>0</v>
      </c>
      <c r="G79" s="0" t="n">
        <v>0</v>
      </c>
      <c r="H79" s="0" t="n">
        <v>0</v>
      </c>
      <c r="I79" s="2" t="n">
        <f aca="false">G79+H79-F79</f>
        <v>0</v>
      </c>
    </row>
    <row r="80" customFormat="false" ht="15.75" hidden="false" customHeight="false" outlineLevel="0" collapsed="false">
      <c r="A80" s="0" t="n">
        <v>2025</v>
      </c>
      <c r="B80" s="0" t="s">
        <v>188</v>
      </c>
      <c r="C80" s="0" t="s">
        <v>189</v>
      </c>
      <c r="D80" s="1" t="s">
        <v>161</v>
      </c>
      <c r="E80" s="0" t="n">
        <v>254</v>
      </c>
      <c r="F80" s="0" t="n">
        <v>0</v>
      </c>
      <c r="G80" s="0" t="n">
        <v>0</v>
      </c>
      <c r="H80" s="0" t="n">
        <v>0</v>
      </c>
      <c r="I80" s="2" t="n">
        <f aca="false">G80+H80-F80</f>
        <v>0</v>
      </c>
    </row>
    <row r="81" customFormat="false" ht="15.75" hidden="false" customHeight="false" outlineLevel="0" collapsed="false">
      <c r="A81" s="0" t="n">
        <v>2025</v>
      </c>
      <c r="B81" s="0" t="s">
        <v>190</v>
      </c>
      <c r="C81" s="0" t="s">
        <v>191</v>
      </c>
      <c r="D81" s="1" t="s">
        <v>161</v>
      </c>
      <c r="E81" s="0" t="n">
        <v>254</v>
      </c>
      <c r="F81" s="0" t="n">
        <v>0</v>
      </c>
      <c r="G81" s="0" t="n">
        <v>0</v>
      </c>
      <c r="H81" s="3" t="n">
        <f aca="false">10500</f>
        <v>10500</v>
      </c>
      <c r="I81" s="2" t="n">
        <f aca="false">G81+H81-F81</f>
        <v>10500</v>
      </c>
    </row>
    <row r="82" customFormat="false" ht="15.75" hidden="false" customHeight="false" outlineLevel="0" collapsed="false">
      <c r="A82" s="0" t="n">
        <v>2025</v>
      </c>
      <c r="B82" s="0" t="s">
        <v>192</v>
      </c>
      <c r="C82" s="0" t="s">
        <v>193</v>
      </c>
      <c r="D82" s="1" t="s">
        <v>161</v>
      </c>
      <c r="E82" s="0" t="n">
        <v>254</v>
      </c>
      <c r="F82" s="0" t="n">
        <v>0</v>
      </c>
      <c r="G82" s="0" t="n">
        <v>0</v>
      </c>
      <c r="H82" s="0" t="n">
        <v>0</v>
      </c>
      <c r="I82" s="2" t="n">
        <f aca="false">G82+H82-F82</f>
        <v>0</v>
      </c>
    </row>
    <row r="83" customFormat="false" ht="15.75" hidden="false" customHeight="false" outlineLevel="0" collapsed="false">
      <c r="A83" s="0" t="n">
        <v>2025</v>
      </c>
      <c r="B83" s="0" t="s">
        <v>194</v>
      </c>
      <c r="C83" s="0" t="s">
        <v>195</v>
      </c>
      <c r="D83" s="1" t="s">
        <v>161</v>
      </c>
      <c r="E83" s="0" t="n">
        <v>254</v>
      </c>
      <c r="F83" s="0" t="n">
        <v>0</v>
      </c>
      <c r="G83" s="0" t="n">
        <v>0</v>
      </c>
      <c r="H83" s="3" t="n">
        <f aca="false">1200</f>
        <v>1200</v>
      </c>
      <c r="I83" s="2" t="n">
        <f aca="false">G83+H83-F83</f>
        <v>1200</v>
      </c>
    </row>
    <row r="84" customFormat="false" ht="15.75" hidden="false" customHeight="false" outlineLevel="0" collapsed="false">
      <c r="A84" s="0" t="n">
        <v>2025</v>
      </c>
      <c r="B84" s="0" t="s">
        <v>196</v>
      </c>
      <c r="C84" s="0" t="s">
        <v>197</v>
      </c>
      <c r="D84" s="1" t="s">
        <v>161</v>
      </c>
      <c r="E84" s="0" t="n">
        <v>254</v>
      </c>
      <c r="F84" s="0" t="n">
        <v>0</v>
      </c>
      <c r="G84" s="0" t="n">
        <v>0</v>
      </c>
      <c r="H84" s="0" t="n">
        <v>0</v>
      </c>
      <c r="I84" s="2" t="n">
        <f aca="false">G84+H84-F84</f>
        <v>0</v>
      </c>
    </row>
    <row r="85" customFormat="false" ht="15.75" hidden="false" customHeight="false" outlineLevel="0" collapsed="false">
      <c r="A85" s="0" t="n">
        <v>2025</v>
      </c>
      <c r="B85" s="0" t="s">
        <v>198</v>
      </c>
      <c r="C85" s="0" t="s">
        <v>199</v>
      </c>
      <c r="D85" s="1" t="s">
        <v>161</v>
      </c>
      <c r="E85" s="0" t="n">
        <v>254</v>
      </c>
      <c r="F85" s="3" t="n">
        <v>1000</v>
      </c>
      <c r="G85" s="0" t="n">
        <v>0</v>
      </c>
      <c r="H85" s="0" t="n">
        <v>0</v>
      </c>
      <c r="I85" s="2" t="n">
        <f aca="false">G85+H85-F85</f>
        <v>-1000</v>
      </c>
      <c r="L85" s="3"/>
    </row>
    <row r="86" customFormat="false" ht="15.75" hidden="false" customHeight="false" outlineLevel="0" collapsed="false">
      <c r="A86" s="0" t="n">
        <v>2025</v>
      </c>
      <c r="B86" s="0" t="s">
        <v>200</v>
      </c>
      <c r="C86" s="0" t="s">
        <v>201</v>
      </c>
      <c r="D86" s="1" t="s">
        <v>161</v>
      </c>
      <c r="E86" s="0" t="n">
        <v>254</v>
      </c>
      <c r="F86" s="0" t="n">
        <v>0</v>
      </c>
      <c r="G86" s="0" t="n">
        <v>0</v>
      </c>
      <c r="H86" s="0" t="n">
        <v>0</v>
      </c>
      <c r="I86" s="2" t="n">
        <f aca="false">G86+H86-F86</f>
        <v>0</v>
      </c>
    </row>
    <row r="87" customFormat="false" ht="15.75" hidden="false" customHeight="false" outlineLevel="0" collapsed="false">
      <c r="A87" s="0" t="n">
        <v>2025</v>
      </c>
      <c r="B87" s="0" t="s">
        <v>202</v>
      </c>
      <c r="C87" s="0" t="s">
        <v>203</v>
      </c>
      <c r="D87" s="1" t="s">
        <v>161</v>
      </c>
      <c r="E87" s="0" t="n">
        <v>254</v>
      </c>
      <c r="F87" s="0" t="n">
        <v>500</v>
      </c>
      <c r="G87" s="0" t="n">
        <v>0</v>
      </c>
      <c r="H87" s="0" t="n">
        <v>0</v>
      </c>
      <c r="I87" s="2" t="n">
        <f aca="false">G87+H87-F87</f>
        <v>-500</v>
      </c>
    </row>
    <row r="88" customFormat="false" ht="15.75" hidden="false" customHeight="false" outlineLevel="0" collapsed="false">
      <c r="A88" s="0" t="n">
        <v>2025</v>
      </c>
      <c r="B88" s="0" t="s">
        <v>204</v>
      </c>
      <c r="C88" s="0" t="s">
        <v>205</v>
      </c>
      <c r="D88" s="1" t="s">
        <v>161</v>
      </c>
      <c r="E88" s="0" t="n">
        <v>254</v>
      </c>
      <c r="F88" s="0" t="n">
        <v>500</v>
      </c>
      <c r="G88" s="0" t="n">
        <v>0</v>
      </c>
      <c r="H88" s="0" t="n">
        <v>0</v>
      </c>
      <c r="I88" s="2" t="n">
        <f aca="false">G88+H88-F88</f>
        <v>-500</v>
      </c>
    </row>
    <row r="89" customFormat="false" ht="15.75" hidden="false" customHeight="false" outlineLevel="0" collapsed="false">
      <c r="A89" s="0" t="n">
        <v>2025</v>
      </c>
      <c r="B89" s="0" t="s">
        <v>206</v>
      </c>
      <c r="C89" s="0" t="s">
        <v>207</v>
      </c>
      <c r="D89" s="1" t="s">
        <v>161</v>
      </c>
      <c r="E89" s="0" t="n">
        <v>254</v>
      </c>
      <c r="F89" s="0" t="n">
        <v>0</v>
      </c>
      <c r="G89" s="0" t="n">
        <v>0</v>
      </c>
      <c r="H89" s="0" t="n">
        <v>0</v>
      </c>
      <c r="I89" s="2" t="n">
        <f aca="false">G89+H89-F89</f>
        <v>0</v>
      </c>
    </row>
    <row r="90" customFormat="false" ht="15.75" hidden="false" customHeight="false" outlineLevel="0" collapsed="false">
      <c r="A90" s="0" t="n">
        <v>2025</v>
      </c>
      <c r="B90" s="0" t="s">
        <v>208</v>
      </c>
      <c r="C90" s="0" t="s">
        <v>209</v>
      </c>
      <c r="D90" s="1" t="s">
        <v>161</v>
      </c>
      <c r="E90" s="0" t="n">
        <v>254</v>
      </c>
      <c r="F90" s="0" t="n">
        <v>0</v>
      </c>
      <c r="G90" s="0" t="n">
        <v>0</v>
      </c>
      <c r="H90" s="0" t="n">
        <v>0</v>
      </c>
      <c r="I90" s="2" t="n">
        <f aca="false">G90+H90-F90</f>
        <v>0</v>
      </c>
    </row>
    <row r="91" customFormat="false" ht="15.75" hidden="false" customHeight="false" outlineLevel="0" collapsed="false">
      <c r="A91" s="0" t="n">
        <v>2025</v>
      </c>
      <c r="B91" s="0" t="s">
        <v>210</v>
      </c>
      <c r="C91" s="0" t="s">
        <v>211</v>
      </c>
      <c r="D91" s="1" t="s">
        <v>212</v>
      </c>
      <c r="E91" s="0" t="n">
        <v>254</v>
      </c>
      <c r="F91" s="0" t="n">
        <v>0</v>
      </c>
      <c r="G91" s="0" t="n">
        <v>0</v>
      </c>
      <c r="H91" s="0" t="n">
        <v>0</v>
      </c>
      <c r="I91" s="2" t="n">
        <f aca="false">G91+H91-F91</f>
        <v>0</v>
      </c>
    </row>
    <row r="92" customFormat="false" ht="15.75" hidden="false" customHeight="false" outlineLevel="0" collapsed="false">
      <c r="A92" s="0" t="n">
        <v>2025</v>
      </c>
      <c r="B92" s="0" t="s">
        <v>213</v>
      </c>
      <c r="C92" s="0" t="s">
        <v>214</v>
      </c>
      <c r="D92" s="1" t="s">
        <v>212</v>
      </c>
      <c r="E92" s="0" t="n">
        <v>254</v>
      </c>
      <c r="F92" s="0" t="n">
        <v>0</v>
      </c>
      <c r="G92" s="0" t="n">
        <v>0</v>
      </c>
      <c r="H92" s="0" t="n">
        <v>0</v>
      </c>
      <c r="I92" s="2" t="n">
        <f aca="false">G92+H92-F92</f>
        <v>0</v>
      </c>
    </row>
    <row r="93" customFormat="false" ht="15.75" hidden="false" customHeight="false" outlineLevel="0" collapsed="false">
      <c r="A93" s="0" t="n">
        <v>2025</v>
      </c>
      <c r="B93" s="0" t="s">
        <v>215</v>
      </c>
      <c r="C93" s="0" t="s">
        <v>216</v>
      </c>
      <c r="D93" s="1" t="s">
        <v>212</v>
      </c>
      <c r="E93" s="0" t="n">
        <v>254</v>
      </c>
      <c r="F93" s="0" t="n">
        <v>0</v>
      </c>
      <c r="G93" s="0" t="n">
        <v>0</v>
      </c>
      <c r="H93" s="3" t="n">
        <f aca="false">8500</f>
        <v>8500</v>
      </c>
      <c r="I93" s="2" t="n">
        <f aca="false">G93+H93-F93</f>
        <v>8500</v>
      </c>
    </row>
    <row r="94" customFormat="false" ht="15.75" hidden="false" customHeight="false" outlineLevel="0" collapsed="false">
      <c r="A94" s="0" t="n">
        <v>2025</v>
      </c>
      <c r="B94" s="0" t="s">
        <v>217</v>
      </c>
      <c r="C94" s="0" t="s">
        <v>218</v>
      </c>
      <c r="D94" s="1" t="s">
        <v>212</v>
      </c>
      <c r="E94" s="0" t="n">
        <v>254</v>
      </c>
      <c r="F94" s="0" t="n">
        <v>0</v>
      </c>
      <c r="G94" s="0" t="n">
        <v>0</v>
      </c>
      <c r="H94" s="0" t="n">
        <v>0</v>
      </c>
      <c r="I94" s="2" t="n">
        <f aca="false">G94+H94-F94</f>
        <v>0</v>
      </c>
    </row>
    <row r="95" customFormat="false" ht="15.75" hidden="false" customHeight="false" outlineLevel="0" collapsed="false">
      <c r="A95" s="0" t="n">
        <v>2025</v>
      </c>
      <c r="B95" s="0" t="s">
        <v>219</v>
      </c>
      <c r="C95" s="0" t="s">
        <v>220</v>
      </c>
      <c r="D95" s="1" t="s">
        <v>212</v>
      </c>
      <c r="E95" s="0" t="n">
        <v>254</v>
      </c>
      <c r="F95" s="0" t="n">
        <v>0</v>
      </c>
      <c r="G95" s="0" t="n">
        <v>0</v>
      </c>
      <c r="H95" s="0" t="n">
        <v>0</v>
      </c>
      <c r="I95" s="2" t="n">
        <f aca="false">G95+H95-F95</f>
        <v>0</v>
      </c>
    </row>
    <row r="96" customFormat="false" ht="15.75" hidden="false" customHeight="false" outlineLevel="0" collapsed="false">
      <c r="A96" s="0" t="n">
        <v>2025</v>
      </c>
      <c r="B96" s="0" t="s">
        <v>221</v>
      </c>
      <c r="C96" s="0" t="s">
        <v>222</v>
      </c>
      <c r="D96" s="1" t="s">
        <v>212</v>
      </c>
      <c r="E96" s="0" t="n">
        <v>254</v>
      </c>
      <c r="F96" s="0" t="n">
        <v>0</v>
      </c>
      <c r="G96" s="0" t="n">
        <v>0</v>
      </c>
      <c r="H96" s="0" t="n">
        <v>0</v>
      </c>
      <c r="I96" s="2" t="n">
        <f aca="false">G96+H96-F96</f>
        <v>0</v>
      </c>
    </row>
    <row r="97" customFormat="false" ht="15.75" hidden="false" customHeight="false" outlineLevel="0" collapsed="false">
      <c r="A97" s="0" t="n">
        <v>2025</v>
      </c>
      <c r="B97" s="0" t="s">
        <v>223</v>
      </c>
      <c r="C97" s="0" t="s">
        <v>224</v>
      </c>
      <c r="D97" s="1" t="s">
        <v>212</v>
      </c>
      <c r="E97" s="0" t="n">
        <v>254</v>
      </c>
      <c r="F97" s="0" t="n">
        <v>0</v>
      </c>
      <c r="G97" s="0" t="n">
        <v>0</v>
      </c>
      <c r="H97" s="0" t="n">
        <v>0</v>
      </c>
      <c r="I97" s="2" t="n">
        <f aca="false">G97+H97-F97</f>
        <v>0</v>
      </c>
    </row>
    <row r="98" customFormat="false" ht="15.75" hidden="false" customHeight="false" outlineLevel="0" collapsed="false">
      <c r="A98" s="0" t="n">
        <v>2025</v>
      </c>
      <c r="B98" s="0" t="s">
        <v>225</v>
      </c>
      <c r="C98" s="0" t="s">
        <v>226</v>
      </c>
      <c r="D98" s="1" t="s">
        <v>212</v>
      </c>
      <c r="E98" s="0" t="n">
        <v>254</v>
      </c>
      <c r="F98" s="0" t="n">
        <v>0</v>
      </c>
      <c r="G98" s="3" t="n">
        <v>12000</v>
      </c>
      <c r="H98" s="3" t="n">
        <v>28500</v>
      </c>
      <c r="I98" s="2" t="n">
        <f aca="false">G98+H98-F98</f>
        <v>40500</v>
      </c>
    </row>
    <row r="99" customFormat="false" ht="15.75" hidden="false" customHeight="false" outlineLevel="0" collapsed="false">
      <c r="A99" s="0" t="n">
        <v>2025</v>
      </c>
      <c r="B99" s="0" t="s">
        <v>227</v>
      </c>
      <c r="C99" s="0" t="s">
        <v>228</v>
      </c>
      <c r="D99" s="1" t="s">
        <v>212</v>
      </c>
      <c r="E99" s="0" t="n">
        <v>254</v>
      </c>
      <c r="F99" s="0" t="n">
        <v>0</v>
      </c>
      <c r="G99" s="0" t="n">
        <v>0</v>
      </c>
      <c r="H99" s="3" t="n">
        <v>6000</v>
      </c>
      <c r="I99" s="2" t="n">
        <f aca="false">G99+H99-F99</f>
        <v>6000</v>
      </c>
    </row>
    <row r="100" customFormat="false" ht="15.75" hidden="false" customHeight="false" outlineLevel="0" collapsed="false">
      <c r="A100" s="0" t="n">
        <v>2025</v>
      </c>
      <c r="B100" s="0" t="s">
        <v>229</v>
      </c>
      <c r="C100" s="0" t="s">
        <v>230</v>
      </c>
      <c r="D100" s="1" t="s">
        <v>212</v>
      </c>
      <c r="E100" s="0" t="n">
        <v>254</v>
      </c>
      <c r="F100" s="0" t="n">
        <v>0</v>
      </c>
      <c r="G100" s="0" t="n">
        <v>0</v>
      </c>
      <c r="H100" s="0" t="n">
        <v>0</v>
      </c>
      <c r="I100" s="2" t="n">
        <f aca="false">G100+H100-F100</f>
        <v>0</v>
      </c>
    </row>
    <row r="101" customFormat="false" ht="15.75" hidden="false" customHeight="false" outlineLevel="0" collapsed="false">
      <c r="A101" s="0" t="n">
        <v>2025</v>
      </c>
      <c r="B101" s="0" t="s">
        <v>231</v>
      </c>
      <c r="C101" s="0" t="s">
        <v>232</v>
      </c>
      <c r="D101" s="1" t="s">
        <v>212</v>
      </c>
      <c r="E101" s="0" t="n">
        <v>254</v>
      </c>
      <c r="F101" s="0" t="n">
        <v>0</v>
      </c>
      <c r="G101" s="0" t="n">
        <v>0</v>
      </c>
      <c r="H101" s="0" t="n">
        <v>0</v>
      </c>
      <c r="I101" s="2" t="n">
        <f aca="false">G101+H101-F101</f>
        <v>0</v>
      </c>
    </row>
    <row r="102" customFormat="false" ht="15.75" hidden="false" customHeight="false" outlineLevel="0" collapsed="false">
      <c r="A102" s="0" t="n">
        <v>2025</v>
      </c>
      <c r="B102" s="0" t="s">
        <v>233</v>
      </c>
      <c r="C102" s="0" t="s">
        <v>234</v>
      </c>
      <c r="D102" s="1" t="s">
        <v>212</v>
      </c>
      <c r="E102" s="0" t="n">
        <v>254</v>
      </c>
      <c r="F102" s="0" t="n">
        <v>0</v>
      </c>
      <c r="G102" s="0" t="n">
        <v>0</v>
      </c>
      <c r="H102" s="0" t="n">
        <v>0</v>
      </c>
      <c r="I102" s="2" t="n">
        <f aca="false">G102+H102-F102</f>
        <v>0</v>
      </c>
    </row>
    <row r="103" customFormat="false" ht="15.75" hidden="false" customHeight="false" outlineLevel="0" collapsed="false">
      <c r="A103" s="0" t="n">
        <v>2025</v>
      </c>
      <c r="B103" s="0" t="s">
        <v>235</v>
      </c>
      <c r="C103" s="0" t="s">
        <v>236</v>
      </c>
      <c r="D103" s="1" t="s">
        <v>212</v>
      </c>
      <c r="E103" s="0" t="n">
        <v>254</v>
      </c>
      <c r="F103" s="0" t="n">
        <v>0</v>
      </c>
      <c r="G103" s="0" t="n">
        <v>0</v>
      </c>
      <c r="H103" s="0" t="n">
        <v>0</v>
      </c>
      <c r="I103" s="2" t="n">
        <f aca="false">G103+H103-F103</f>
        <v>0</v>
      </c>
    </row>
    <row r="104" customFormat="false" ht="15.75" hidden="false" customHeight="false" outlineLevel="0" collapsed="false">
      <c r="A104" s="0" t="n">
        <v>2025</v>
      </c>
      <c r="B104" s="0" t="s">
        <v>237</v>
      </c>
      <c r="C104" s="0" t="s">
        <v>238</v>
      </c>
      <c r="D104" s="1" t="s">
        <v>212</v>
      </c>
      <c r="E104" s="0" t="n">
        <v>254</v>
      </c>
      <c r="F104" s="0" t="n">
        <v>0</v>
      </c>
      <c r="G104" s="0" t="n">
        <v>0</v>
      </c>
      <c r="H104" s="0" t="n">
        <v>0</v>
      </c>
      <c r="I104" s="2" t="n">
        <f aca="false">G104+H104-F104</f>
        <v>0</v>
      </c>
    </row>
    <row r="105" customFormat="false" ht="15.75" hidden="false" customHeight="false" outlineLevel="0" collapsed="false">
      <c r="A105" s="0" t="n">
        <v>2025</v>
      </c>
      <c r="B105" s="0" t="s">
        <v>239</v>
      </c>
      <c r="C105" s="0" t="s">
        <v>240</v>
      </c>
      <c r="D105" s="1" t="s">
        <v>212</v>
      </c>
      <c r="E105" s="0" t="n">
        <v>254</v>
      </c>
      <c r="F105" s="0" t="n">
        <v>0</v>
      </c>
      <c r="G105" s="0" t="n">
        <v>0</v>
      </c>
      <c r="H105" s="0" t="n">
        <v>0</v>
      </c>
      <c r="I105" s="2" t="n">
        <f aca="false">G105+H105-F105</f>
        <v>0</v>
      </c>
    </row>
    <row r="106" customFormat="false" ht="15.75" hidden="false" customHeight="false" outlineLevel="0" collapsed="false">
      <c r="A106" s="0" t="n">
        <v>2025</v>
      </c>
      <c r="B106" s="0" t="s">
        <v>241</v>
      </c>
      <c r="C106" s="0" t="s">
        <v>242</v>
      </c>
      <c r="D106" s="1" t="s">
        <v>212</v>
      </c>
      <c r="E106" s="0" t="n">
        <v>254</v>
      </c>
      <c r="F106" s="0" t="n">
        <v>0</v>
      </c>
      <c r="G106" s="0" t="n">
        <v>0</v>
      </c>
      <c r="H106" s="0" t="n">
        <v>0</v>
      </c>
      <c r="I106" s="2" t="n">
        <f aca="false">G106+H106-F106</f>
        <v>0</v>
      </c>
    </row>
    <row r="107" customFormat="false" ht="15.75" hidden="false" customHeight="false" outlineLevel="0" collapsed="false">
      <c r="A107" s="0" t="n">
        <v>2025</v>
      </c>
      <c r="B107" s="0" t="s">
        <v>243</v>
      </c>
      <c r="C107" s="0" t="s">
        <v>244</v>
      </c>
      <c r="D107" s="1" t="s">
        <v>212</v>
      </c>
      <c r="E107" s="0" t="n">
        <v>254</v>
      </c>
      <c r="F107" s="0" t="n">
        <v>0</v>
      </c>
      <c r="G107" s="0" t="n">
        <v>0</v>
      </c>
      <c r="H107" s="3" t="n">
        <v>2000</v>
      </c>
      <c r="I107" s="2" t="n">
        <f aca="false">G107+H107-F107</f>
        <v>2000</v>
      </c>
    </row>
    <row r="108" customFormat="false" ht="15.75" hidden="false" customHeight="false" outlineLevel="0" collapsed="false">
      <c r="A108" s="0" t="n">
        <v>2025</v>
      </c>
      <c r="B108" s="0" t="s">
        <v>245</v>
      </c>
      <c r="C108" s="0" t="s">
        <v>246</v>
      </c>
      <c r="D108" s="1" t="s">
        <v>212</v>
      </c>
      <c r="E108" s="0" t="n">
        <v>254</v>
      </c>
      <c r="F108" s="0" t="n">
        <v>0</v>
      </c>
      <c r="G108" s="0" t="n">
        <v>0</v>
      </c>
      <c r="H108" s="3" t="n">
        <v>2500</v>
      </c>
      <c r="I108" s="2" t="n">
        <f aca="false">G108+H108-F108</f>
        <v>2500</v>
      </c>
    </row>
    <row r="109" customFormat="false" ht="15.75" hidden="false" customHeight="false" outlineLevel="0" collapsed="false">
      <c r="A109" s="0" t="n">
        <v>2025</v>
      </c>
      <c r="B109" s="0" t="s">
        <v>247</v>
      </c>
      <c r="C109" s="0" t="s">
        <v>248</v>
      </c>
      <c r="D109" s="1" t="s">
        <v>212</v>
      </c>
      <c r="E109" s="0" t="n">
        <v>254</v>
      </c>
      <c r="F109" s="0" t="n">
        <v>0</v>
      </c>
      <c r="G109" s="0" t="n">
        <v>0</v>
      </c>
      <c r="H109" s="0" t="n">
        <v>0</v>
      </c>
      <c r="I109" s="2" t="n">
        <f aca="false">G109+H109-F109</f>
        <v>0</v>
      </c>
    </row>
    <row r="110" customFormat="false" ht="15.75" hidden="false" customHeight="false" outlineLevel="0" collapsed="false">
      <c r="A110" s="0" t="n">
        <v>2025</v>
      </c>
      <c r="B110" s="0" t="s">
        <v>249</v>
      </c>
      <c r="C110" s="0" t="s">
        <v>250</v>
      </c>
      <c r="D110" s="1" t="s">
        <v>212</v>
      </c>
      <c r="E110" s="0" t="n">
        <v>254</v>
      </c>
      <c r="F110" s="0" t="n">
        <v>0</v>
      </c>
      <c r="G110" s="0" t="n">
        <v>0</v>
      </c>
      <c r="H110" s="0" t="n">
        <v>0</v>
      </c>
      <c r="I110" s="2" t="n">
        <f aca="false">G110+H110-F110</f>
        <v>0</v>
      </c>
    </row>
    <row r="111" customFormat="false" ht="15.75" hidden="false" customHeight="false" outlineLevel="0" collapsed="false">
      <c r="A111" s="0" t="n">
        <v>2025</v>
      </c>
      <c r="B111" s="0" t="s">
        <v>251</v>
      </c>
      <c r="C111" s="0" t="s">
        <v>252</v>
      </c>
      <c r="D111" s="1" t="s">
        <v>212</v>
      </c>
      <c r="E111" s="0" t="n">
        <v>790435536</v>
      </c>
      <c r="F111" s="0" t="n">
        <v>0</v>
      </c>
      <c r="G111" s="0" t="n">
        <v>0</v>
      </c>
      <c r="H111" s="0" t="n">
        <v>0</v>
      </c>
      <c r="I111" s="2" t="n">
        <f aca="false">G111+H111-F111</f>
        <v>0</v>
      </c>
    </row>
    <row r="112" customFormat="false" ht="15.75" hidden="false" customHeight="false" outlineLevel="0" collapsed="false">
      <c r="A112" s="0" t="n">
        <v>2025</v>
      </c>
      <c r="B112" s="0" t="s">
        <v>253</v>
      </c>
      <c r="C112" s="0" t="s">
        <v>254</v>
      </c>
      <c r="D112" s="1" t="s">
        <v>212</v>
      </c>
      <c r="E112" s="0" t="n">
        <v>254</v>
      </c>
      <c r="F112" s="0" t="n">
        <v>0</v>
      </c>
      <c r="G112" s="0" t="n">
        <v>0</v>
      </c>
      <c r="H112" s="0" t="n">
        <v>0</v>
      </c>
      <c r="I112" s="2" t="n">
        <f aca="false">G112+H112-F112</f>
        <v>0</v>
      </c>
    </row>
    <row r="113" customFormat="false" ht="15.75" hidden="false" customHeight="false" outlineLevel="0" collapsed="false">
      <c r="A113" s="0" t="n">
        <v>2025</v>
      </c>
      <c r="B113" s="0" t="s">
        <v>255</v>
      </c>
      <c r="C113" s="0" t="s">
        <v>256</v>
      </c>
      <c r="D113" s="1" t="s">
        <v>212</v>
      </c>
      <c r="E113" s="0" t="n">
        <v>254</v>
      </c>
      <c r="F113" s="0" t="n">
        <v>0</v>
      </c>
      <c r="G113" s="0" t="n">
        <v>0</v>
      </c>
      <c r="H113" s="0" t="n">
        <v>0</v>
      </c>
      <c r="I113" s="2" t="n">
        <f aca="false">G113+H113-F113</f>
        <v>0</v>
      </c>
    </row>
    <row r="114" customFormat="false" ht="15.75" hidden="false" customHeight="false" outlineLevel="0" collapsed="false">
      <c r="A114" s="0" t="n">
        <v>2025</v>
      </c>
      <c r="B114" s="0" t="s">
        <v>257</v>
      </c>
      <c r="C114" s="0" t="s">
        <v>258</v>
      </c>
      <c r="D114" s="1" t="s">
        <v>212</v>
      </c>
      <c r="E114" s="0" t="n">
        <v>254</v>
      </c>
      <c r="F114" s="0" t="n">
        <v>0</v>
      </c>
      <c r="G114" s="0" t="n">
        <v>0</v>
      </c>
      <c r="H114" s="0" t="n">
        <v>0</v>
      </c>
      <c r="I114" s="2" t="n">
        <f aca="false">G114+H114-F114</f>
        <v>0</v>
      </c>
    </row>
    <row r="115" customFormat="false" ht="15.75" hidden="false" customHeight="false" outlineLevel="0" collapsed="false">
      <c r="A115" s="0" t="n">
        <v>2025</v>
      </c>
      <c r="B115" s="0" t="s">
        <v>259</v>
      </c>
      <c r="C115" s="0" t="s">
        <v>260</v>
      </c>
      <c r="D115" s="1" t="s">
        <v>212</v>
      </c>
      <c r="E115" s="0" t="n">
        <v>254</v>
      </c>
      <c r="F115" s="0" t="n">
        <v>0</v>
      </c>
      <c r="G115" s="0" t="n">
        <v>0</v>
      </c>
      <c r="H115" s="0" t="n">
        <v>0</v>
      </c>
      <c r="I115" s="2" t="n">
        <f aca="false">G115+H115-F115</f>
        <v>0</v>
      </c>
    </row>
    <row r="116" customFormat="false" ht="15.75" hidden="false" customHeight="false" outlineLevel="0" collapsed="false">
      <c r="A116" s="0" t="n">
        <v>2025</v>
      </c>
      <c r="B116" s="0" t="s">
        <v>261</v>
      </c>
      <c r="C116" s="0" t="s">
        <v>262</v>
      </c>
      <c r="D116" s="1" t="s">
        <v>212</v>
      </c>
      <c r="E116" s="0" t="n">
        <v>254</v>
      </c>
      <c r="F116" s="0" t="n">
        <v>0</v>
      </c>
      <c r="G116" s="0" t="n">
        <v>0</v>
      </c>
      <c r="H116" s="0" t="n">
        <v>0</v>
      </c>
      <c r="I116" s="2" t="n">
        <f aca="false">G116+H116-F116</f>
        <v>0</v>
      </c>
    </row>
    <row r="117" customFormat="false" ht="15.75" hidden="false" customHeight="false" outlineLevel="0" collapsed="false">
      <c r="A117" s="0" t="n">
        <v>2025</v>
      </c>
      <c r="B117" s="0" t="s">
        <v>263</v>
      </c>
      <c r="C117" s="0" t="s">
        <v>264</v>
      </c>
      <c r="D117" s="1" t="s">
        <v>212</v>
      </c>
      <c r="E117" s="0" t="n">
        <v>254</v>
      </c>
      <c r="F117" s="0" t="n">
        <v>0</v>
      </c>
      <c r="G117" s="0" t="n">
        <v>0</v>
      </c>
      <c r="H117" s="0" t="n">
        <v>0</v>
      </c>
      <c r="I117" s="2" t="n">
        <f aca="false">G117+H117-F117</f>
        <v>0</v>
      </c>
    </row>
    <row r="118" customFormat="false" ht="15.75" hidden="false" customHeight="false" outlineLevel="0" collapsed="false">
      <c r="A118" s="0" t="n">
        <v>2025</v>
      </c>
      <c r="B118" s="0" t="s">
        <v>265</v>
      </c>
      <c r="C118" s="0" t="s">
        <v>266</v>
      </c>
      <c r="D118" s="1" t="s">
        <v>212</v>
      </c>
      <c r="E118" s="0" t="n">
        <v>254</v>
      </c>
      <c r="F118" s="0" t="n">
        <v>0</v>
      </c>
      <c r="G118" s="0" t="n">
        <v>0</v>
      </c>
      <c r="H118" s="0" t="n">
        <v>0</v>
      </c>
      <c r="I118" s="2" t="n">
        <f aca="false">G118+H118-F118</f>
        <v>0</v>
      </c>
    </row>
    <row r="119" customFormat="false" ht="15.75" hidden="false" customHeight="false" outlineLevel="0" collapsed="false">
      <c r="A119" s="0" t="n">
        <v>2025</v>
      </c>
      <c r="B119" s="0" t="s">
        <v>267</v>
      </c>
      <c r="C119" s="0" t="s">
        <v>268</v>
      </c>
      <c r="D119" s="1" t="s">
        <v>212</v>
      </c>
      <c r="E119" s="0" t="n">
        <v>254</v>
      </c>
      <c r="F119" s="0" t="n">
        <v>0</v>
      </c>
      <c r="G119" s="0" t="n">
        <v>0</v>
      </c>
      <c r="H119" s="0" t="n">
        <v>0</v>
      </c>
      <c r="I119" s="2" t="n">
        <f aca="false">G119+H119-F119</f>
        <v>0</v>
      </c>
    </row>
    <row r="120" customFormat="false" ht="15.75" hidden="false" customHeight="false" outlineLevel="0" collapsed="false">
      <c r="A120" s="0" t="n">
        <v>2025</v>
      </c>
      <c r="B120" s="0" t="s">
        <v>269</v>
      </c>
      <c r="C120" s="0" t="s">
        <v>270</v>
      </c>
      <c r="D120" s="1" t="s">
        <v>212</v>
      </c>
      <c r="E120" s="0" t="n">
        <v>254</v>
      </c>
      <c r="F120" s="0" t="n">
        <v>0</v>
      </c>
      <c r="G120" s="0" t="n">
        <v>0</v>
      </c>
      <c r="H120" s="0" t="n">
        <v>0</v>
      </c>
      <c r="I120" s="2" t="n">
        <f aca="false">G120+H120-F120</f>
        <v>0</v>
      </c>
    </row>
    <row r="121" customFormat="false" ht="15.75" hidden="false" customHeight="false" outlineLevel="0" collapsed="false">
      <c r="A121" s="0" t="n">
        <v>2025</v>
      </c>
      <c r="B121" s="0" t="s">
        <v>271</v>
      </c>
      <c r="C121" s="0" t="s">
        <v>272</v>
      </c>
      <c r="D121" s="1" t="s">
        <v>212</v>
      </c>
      <c r="E121" s="0" t="n">
        <v>254</v>
      </c>
      <c r="F121" s="0" t="n">
        <v>0</v>
      </c>
      <c r="G121" s="0" t="n">
        <v>0</v>
      </c>
      <c r="H121" s="0" t="n">
        <v>0</v>
      </c>
      <c r="I121" s="2" t="n">
        <f aca="false">G121+H121-F121</f>
        <v>0</v>
      </c>
    </row>
    <row r="122" customFormat="false" ht="15.75" hidden="false" customHeight="false" outlineLevel="0" collapsed="false">
      <c r="A122" s="0" t="n">
        <v>2025</v>
      </c>
      <c r="B122" s="0" t="s">
        <v>273</v>
      </c>
      <c r="C122" s="0" t="s">
        <v>274</v>
      </c>
      <c r="D122" s="1" t="s">
        <v>212</v>
      </c>
      <c r="E122" s="0" t="n">
        <v>254</v>
      </c>
      <c r="F122" s="0" t="n">
        <v>0</v>
      </c>
      <c r="G122" s="0" t="n">
        <v>0</v>
      </c>
      <c r="H122" s="0" t="n">
        <v>0</v>
      </c>
      <c r="I122" s="2" t="n">
        <f aca="false">G122+H122-F122</f>
        <v>0</v>
      </c>
    </row>
    <row r="123" customFormat="false" ht="15.75" hidden="false" customHeight="false" outlineLevel="0" collapsed="false">
      <c r="A123" s="0" t="n">
        <v>2025</v>
      </c>
      <c r="B123" s="0" t="s">
        <v>275</v>
      </c>
      <c r="C123" s="0" t="s">
        <v>276</v>
      </c>
      <c r="D123" s="1" t="s">
        <v>277</v>
      </c>
      <c r="E123" s="0" t="n">
        <v>254</v>
      </c>
      <c r="F123" s="0" t="n">
        <v>0</v>
      </c>
      <c r="G123" s="0" t="n">
        <v>0</v>
      </c>
      <c r="H123" s="0" t="n">
        <v>0</v>
      </c>
      <c r="I123" s="2" t="n">
        <f aca="false">G123+H123-F123</f>
        <v>0</v>
      </c>
    </row>
    <row r="124" customFormat="false" ht="15.75" hidden="false" customHeight="false" outlineLevel="0" collapsed="false">
      <c r="A124" s="0" t="n">
        <v>2025</v>
      </c>
      <c r="B124" s="0" t="s">
        <v>278</v>
      </c>
      <c r="C124" s="0" t="s">
        <v>279</v>
      </c>
      <c r="D124" s="1" t="s">
        <v>277</v>
      </c>
      <c r="E124" s="0" t="n">
        <v>254</v>
      </c>
      <c r="F124" s="0" t="n">
        <v>0</v>
      </c>
      <c r="G124" s="0" t="n">
        <v>0</v>
      </c>
      <c r="H124" s="3" t="n">
        <v>1500</v>
      </c>
      <c r="I124" s="2" t="n">
        <f aca="false">G124+H124-F124</f>
        <v>1500</v>
      </c>
    </row>
    <row r="125" customFormat="false" ht="15.75" hidden="false" customHeight="false" outlineLevel="0" collapsed="false">
      <c r="A125" s="0" t="n">
        <v>2025</v>
      </c>
      <c r="B125" s="0" t="s">
        <v>280</v>
      </c>
      <c r="C125" s="0" t="s">
        <v>281</v>
      </c>
      <c r="D125" s="1" t="s">
        <v>277</v>
      </c>
      <c r="E125" s="0" t="n">
        <v>254</v>
      </c>
      <c r="F125" s="0" t="n">
        <v>0</v>
      </c>
      <c r="G125" s="0" t="n">
        <v>0</v>
      </c>
      <c r="H125" s="0" t="n">
        <v>600</v>
      </c>
      <c r="I125" s="2" t="n">
        <f aca="false">G125+H125-F125</f>
        <v>600</v>
      </c>
    </row>
    <row r="126" customFormat="false" ht="15.75" hidden="false" customHeight="false" outlineLevel="0" collapsed="false">
      <c r="A126" s="0" t="n">
        <v>2025</v>
      </c>
      <c r="B126" s="0" t="s">
        <v>282</v>
      </c>
      <c r="C126" s="0" t="s">
        <v>283</v>
      </c>
      <c r="D126" s="1" t="s">
        <v>277</v>
      </c>
      <c r="E126" s="0" t="n">
        <v>254</v>
      </c>
      <c r="F126" s="0" t="n">
        <v>0</v>
      </c>
      <c r="G126" s="0" t="n">
        <v>0</v>
      </c>
      <c r="H126" s="0" t="n">
        <f aca="false">0</f>
        <v>0</v>
      </c>
      <c r="I126" s="2" t="n">
        <f aca="false">G126+H126-F126</f>
        <v>0</v>
      </c>
    </row>
    <row r="127" customFormat="false" ht="15.75" hidden="false" customHeight="false" outlineLevel="0" collapsed="false">
      <c r="A127" s="0" t="n">
        <v>2025</v>
      </c>
      <c r="B127" s="0" t="s">
        <v>284</v>
      </c>
      <c r="C127" s="0" t="s">
        <v>285</v>
      </c>
      <c r="D127" s="1" t="s">
        <v>277</v>
      </c>
      <c r="E127" s="0" t="n">
        <v>254</v>
      </c>
      <c r="F127" s="0" t="n">
        <v>0</v>
      </c>
      <c r="G127" s="0" t="n">
        <v>0</v>
      </c>
      <c r="H127" s="0" t="n">
        <v>0</v>
      </c>
      <c r="I127" s="2" t="n">
        <f aca="false">G127+H127-F127</f>
        <v>0</v>
      </c>
    </row>
    <row r="128" customFormat="false" ht="15.75" hidden="false" customHeight="false" outlineLevel="0" collapsed="false">
      <c r="A128" s="0" t="n">
        <v>2025</v>
      </c>
      <c r="B128" s="0" t="s">
        <v>286</v>
      </c>
      <c r="C128" s="0" t="s">
        <v>287</v>
      </c>
      <c r="D128" s="1" t="s">
        <v>277</v>
      </c>
      <c r="E128" s="0" t="n">
        <v>254</v>
      </c>
      <c r="F128" s="3" t="n">
        <v>1750</v>
      </c>
      <c r="G128" s="0" t="n">
        <v>0</v>
      </c>
      <c r="H128" s="0" t="n">
        <v>0</v>
      </c>
      <c r="I128" s="2" t="n">
        <f aca="false">G128+H128-F128</f>
        <v>-1750</v>
      </c>
      <c r="L128" s="3"/>
    </row>
    <row r="129" customFormat="false" ht="15.75" hidden="false" customHeight="false" outlineLevel="0" collapsed="false">
      <c r="A129" s="0" t="n">
        <v>2025</v>
      </c>
      <c r="B129" s="0" t="s">
        <v>288</v>
      </c>
      <c r="C129" s="0" t="s">
        <v>289</v>
      </c>
      <c r="D129" s="1" t="s">
        <v>277</v>
      </c>
      <c r="E129" s="0" t="n">
        <v>254</v>
      </c>
      <c r="F129" s="0" t="n">
        <v>0</v>
      </c>
      <c r="G129" s="0" t="n">
        <v>0</v>
      </c>
      <c r="H129" s="0" t="n">
        <v>0</v>
      </c>
      <c r="I129" s="2" t="n">
        <f aca="false">G129+H129-F129</f>
        <v>0</v>
      </c>
    </row>
    <row r="130" customFormat="false" ht="15.75" hidden="false" customHeight="false" outlineLevel="0" collapsed="false">
      <c r="A130" s="0" t="n">
        <v>2025</v>
      </c>
      <c r="B130" s="0" t="s">
        <v>290</v>
      </c>
      <c r="C130" s="0" t="s">
        <v>291</v>
      </c>
      <c r="D130" s="1" t="s">
        <v>277</v>
      </c>
      <c r="E130" s="0" t="n">
        <v>254</v>
      </c>
      <c r="F130" s="0" t="n">
        <v>0</v>
      </c>
      <c r="G130" s="0" t="n">
        <v>0</v>
      </c>
      <c r="H130" s="0" t="n">
        <v>0</v>
      </c>
      <c r="I130" s="2" t="n">
        <f aca="false">G130+H130-F130</f>
        <v>0</v>
      </c>
    </row>
    <row r="131" customFormat="false" ht="15.75" hidden="false" customHeight="false" outlineLevel="0" collapsed="false">
      <c r="A131" s="0" t="n">
        <v>2025</v>
      </c>
      <c r="B131" s="0" t="s">
        <v>292</v>
      </c>
      <c r="C131" s="0" t="s">
        <v>293</v>
      </c>
      <c r="D131" s="1" t="s">
        <v>277</v>
      </c>
      <c r="E131" s="0" t="n">
        <v>254</v>
      </c>
      <c r="F131" s="0" t="n">
        <v>0</v>
      </c>
      <c r="G131" s="0" t="n">
        <v>0</v>
      </c>
      <c r="H131" s="0" t="n">
        <v>0</v>
      </c>
      <c r="I131" s="2" t="n">
        <f aca="false">G131+H131-F131</f>
        <v>0</v>
      </c>
    </row>
    <row r="132" customFormat="false" ht="15.75" hidden="false" customHeight="false" outlineLevel="0" collapsed="false">
      <c r="A132" s="0" t="n">
        <v>2025</v>
      </c>
      <c r="B132" s="0" t="s">
        <v>294</v>
      </c>
      <c r="C132" s="0" t="s">
        <v>295</v>
      </c>
      <c r="D132" s="1" t="s">
        <v>277</v>
      </c>
      <c r="E132" s="0" t="n">
        <v>254</v>
      </c>
      <c r="F132" s="0" t="n">
        <v>0</v>
      </c>
      <c r="G132" s="0" t="n">
        <v>0</v>
      </c>
      <c r="H132" s="0" t="n">
        <v>0</v>
      </c>
      <c r="I132" s="2" t="n">
        <f aca="false">G132+H132-F132</f>
        <v>0</v>
      </c>
    </row>
    <row r="133" customFormat="false" ht="15.75" hidden="false" customHeight="false" outlineLevel="0" collapsed="false">
      <c r="A133" s="0" t="n">
        <v>2025</v>
      </c>
      <c r="B133" s="0" t="s">
        <v>296</v>
      </c>
      <c r="C133" s="0" t="s">
        <v>297</v>
      </c>
      <c r="D133" s="1" t="s">
        <v>277</v>
      </c>
      <c r="E133" s="0" t="n">
        <v>254</v>
      </c>
      <c r="F133" s="0" t="n">
        <v>0</v>
      </c>
      <c r="G133" s="0" t="n">
        <v>0</v>
      </c>
      <c r="H133" s="0" t="n">
        <v>0</v>
      </c>
      <c r="I133" s="2" t="n">
        <f aca="false">G133+H133-F133</f>
        <v>0</v>
      </c>
    </row>
    <row r="134" customFormat="false" ht="15.75" hidden="false" customHeight="false" outlineLevel="0" collapsed="false">
      <c r="A134" s="0" t="n">
        <v>2025</v>
      </c>
      <c r="B134" s="0" t="s">
        <v>298</v>
      </c>
      <c r="C134" s="0" t="s">
        <v>299</v>
      </c>
      <c r="D134" s="1" t="s">
        <v>277</v>
      </c>
      <c r="E134" s="0" t="n">
        <v>254</v>
      </c>
      <c r="F134" s="0" t="n">
        <v>0</v>
      </c>
      <c r="G134" s="0" t="n">
        <v>0</v>
      </c>
      <c r="H134" s="0" t="n">
        <v>0</v>
      </c>
      <c r="I134" s="2" t="n">
        <f aca="false">G134+H134-F134</f>
        <v>0</v>
      </c>
    </row>
    <row r="135" customFormat="false" ht="15.75" hidden="false" customHeight="false" outlineLevel="0" collapsed="false">
      <c r="A135" s="0" t="n">
        <v>2025</v>
      </c>
      <c r="B135" s="0" t="s">
        <v>300</v>
      </c>
      <c r="C135" s="0" t="s">
        <v>301</v>
      </c>
      <c r="D135" s="1" t="s">
        <v>277</v>
      </c>
      <c r="E135" s="0" t="n">
        <v>254</v>
      </c>
      <c r="F135" s="0" t="n">
        <v>0</v>
      </c>
      <c r="G135" s="0" t="n">
        <v>0</v>
      </c>
      <c r="H135" s="0" t="n">
        <v>0</v>
      </c>
      <c r="I135" s="2" t="n">
        <f aca="false">G135+H135-F135</f>
        <v>0</v>
      </c>
    </row>
    <row r="136" customFormat="false" ht="15.75" hidden="false" customHeight="false" outlineLevel="0" collapsed="false">
      <c r="A136" s="0" t="n">
        <v>2025</v>
      </c>
      <c r="B136" s="0" t="s">
        <v>302</v>
      </c>
      <c r="C136" s="0" t="s">
        <v>303</v>
      </c>
      <c r="D136" s="1" t="s">
        <v>277</v>
      </c>
      <c r="E136" s="0" t="n">
        <v>254</v>
      </c>
      <c r="F136" s="0" t="n">
        <v>0</v>
      </c>
      <c r="G136" s="0" t="n">
        <v>0</v>
      </c>
      <c r="H136" s="0" t="n">
        <v>0</v>
      </c>
      <c r="I136" s="2" t="n">
        <f aca="false">G136+H136-F136</f>
        <v>0</v>
      </c>
    </row>
    <row r="137" customFormat="false" ht="15.75" hidden="false" customHeight="false" outlineLevel="0" collapsed="false">
      <c r="A137" s="0" t="n">
        <v>2025</v>
      </c>
      <c r="B137" s="0" t="s">
        <v>304</v>
      </c>
      <c r="C137" s="0" t="s">
        <v>305</v>
      </c>
      <c r="D137" s="1" t="s">
        <v>277</v>
      </c>
      <c r="E137" s="0" t="n">
        <v>254</v>
      </c>
      <c r="F137" s="0" t="n">
        <v>0</v>
      </c>
      <c r="G137" s="0" t="n">
        <v>0</v>
      </c>
      <c r="H137" s="3" t="n">
        <v>4500</v>
      </c>
      <c r="I137" s="2" t="n">
        <f aca="false">G137+H137-F137</f>
        <v>4500</v>
      </c>
    </row>
    <row r="138" customFormat="false" ht="15.75" hidden="false" customHeight="false" outlineLevel="0" collapsed="false">
      <c r="A138" s="0" t="n">
        <v>2025</v>
      </c>
      <c r="B138" s="0" t="s">
        <v>306</v>
      </c>
      <c r="C138" s="0" t="s">
        <v>307</v>
      </c>
      <c r="D138" s="1" t="s">
        <v>277</v>
      </c>
      <c r="E138" s="0" t="n">
        <v>254</v>
      </c>
      <c r="F138" s="0" t="n">
        <v>0</v>
      </c>
      <c r="G138" s="0" t="n">
        <v>0</v>
      </c>
      <c r="H138" s="0" t="n">
        <v>0</v>
      </c>
      <c r="I138" s="2" t="n">
        <f aca="false">G138+H138-F138</f>
        <v>0</v>
      </c>
    </row>
    <row r="139" customFormat="false" ht="15.75" hidden="false" customHeight="false" outlineLevel="0" collapsed="false">
      <c r="A139" s="0" t="n">
        <v>2025</v>
      </c>
      <c r="B139" s="0" t="s">
        <v>308</v>
      </c>
      <c r="C139" s="0" t="s">
        <v>309</v>
      </c>
      <c r="D139" s="1" t="s">
        <v>277</v>
      </c>
      <c r="E139" s="0" t="n">
        <v>254</v>
      </c>
      <c r="F139" s="0" t="n">
        <v>0</v>
      </c>
      <c r="G139" s="0" t="n">
        <v>0</v>
      </c>
      <c r="H139" s="0" t="n">
        <v>0</v>
      </c>
      <c r="I139" s="2" t="n">
        <f aca="false">G139+H139-F139</f>
        <v>0</v>
      </c>
    </row>
    <row r="140" customFormat="false" ht="15.75" hidden="false" customHeight="false" outlineLevel="0" collapsed="false">
      <c r="A140" s="0" t="n">
        <v>2025</v>
      </c>
      <c r="B140" s="0" t="s">
        <v>310</v>
      </c>
      <c r="C140" s="0" t="s">
        <v>311</v>
      </c>
      <c r="D140" s="1" t="s">
        <v>277</v>
      </c>
      <c r="E140" s="0" t="n">
        <v>254</v>
      </c>
      <c r="F140" s="0" t="n">
        <v>0</v>
      </c>
      <c r="G140" s="0" t="n">
        <v>0</v>
      </c>
      <c r="H140" s="0" t="n">
        <v>0</v>
      </c>
      <c r="I140" s="2" t="n">
        <f aca="false">G140+H140-F140</f>
        <v>0</v>
      </c>
    </row>
    <row r="141" customFormat="false" ht="15.75" hidden="false" customHeight="false" outlineLevel="0" collapsed="false">
      <c r="A141" s="0" t="n">
        <v>2025</v>
      </c>
      <c r="B141" s="0" t="s">
        <v>312</v>
      </c>
      <c r="C141" s="0" t="s">
        <v>313</v>
      </c>
      <c r="D141" s="1" t="s">
        <v>277</v>
      </c>
      <c r="E141" s="0" t="n">
        <v>254</v>
      </c>
      <c r="F141" s="0" t="n">
        <v>0</v>
      </c>
      <c r="G141" s="0" t="n">
        <v>0</v>
      </c>
      <c r="H141" s="0" t="n">
        <v>0</v>
      </c>
      <c r="I141" s="2" t="n">
        <f aca="false">G141+H141-F141</f>
        <v>0</v>
      </c>
    </row>
    <row r="142" customFormat="false" ht="15.75" hidden="false" customHeight="false" outlineLevel="0" collapsed="false">
      <c r="A142" s="0" t="n">
        <v>2025</v>
      </c>
      <c r="B142" s="0" t="s">
        <v>314</v>
      </c>
      <c r="C142" s="0" t="s">
        <v>315</v>
      </c>
      <c r="D142" s="1" t="s">
        <v>277</v>
      </c>
      <c r="E142" s="0" t="n">
        <v>254</v>
      </c>
      <c r="F142" s="0" t="n">
        <v>0</v>
      </c>
      <c r="G142" s="0" t="n">
        <v>0</v>
      </c>
      <c r="H142" s="0" t="n">
        <v>0</v>
      </c>
      <c r="I142" s="2" t="n">
        <f aca="false">G142+H142-F142</f>
        <v>0</v>
      </c>
    </row>
    <row r="143" customFormat="false" ht="15.75" hidden="false" customHeight="false" outlineLevel="0" collapsed="false">
      <c r="A143" s="0" t="n">
        <v>2025</v>
      </c>
      <c r="B143" s="0" t="s">
        <v>316</v>
      </c>
      <c r="C143" s="0" t="s">
        <v>317</v>
      </c>
      <c r="D143" s="1" t="s">
        <v>277</v>
      </c>
      <c r="E143" s="0" t="n">
        <v>254</v>
      </c>
      <c r="F143" s="0" t="n">
        <v>0</v>
      </c>
      <c r="G143" s="0" t="n">
        <v>0</v>
      </c>
      <c r="H143" s="0" t="n">
        <v>0</v>
      </c>
      <c r="I143" s="2" t="n">
        <f aca="false">G143+H143-F143</f>
        <v>0</v>
      </c>
    </row>
    <row r="144" customFormat="false" ht="15.75" hidden="false" customHeight="false" outlineLevel="0" collapsed="false">
      <c r="A144" s="0" t="n">
        <v>2025</v>
      </c>
      <c r="B144" s="0" t="s">
        <v>318</v>
      </c>
      <c r="C144" s="0" t="s">
        <v>319</v>
      </c>
      <c r="D144" s="1" t="s">
        <v>277</v>
      </c>
      <c r="E144" s="0" t="n">
        <v>254</v>
      </c>
      <c r="F144" s="0" t="n">
        <v>0</v>
      </c>
      <c r="G144" s="0" t="n">
        <v>0</v>
      </c>
      <c r="H144" s="0" t="n">
        <v>0</v>
      </c>
      <c r="I144" s="2" t="n">
        <f aca="false">G144+H144-F144</f>
        <v>0</v>
      </c>
    </row>
    <row r="145" customFormat="false" ht="15.75" hidden="false" customHeight="false" outlineLevel="0" collapsed="false">
      <c r="A145" s="0" t="n">
        <v>2025</v>
      </c>
      <c r="B145" s="0" t="s">
        <v>320</v>
      </c>
      <c r="C145" s="0" t="s">
        <v>321</v>
      </c>
      <c r="D145" s="1" t="s">
        <v>277</v>
      </c>
      <c r="E145" s="0" t="n">
        <v>254</v>
      </c>
      <c r="F145" s="0" t="n">
        <v>0</v>
      </c>
      <c r="G145" s="0" t="n">
        <v>0</v>
      </c>
      <c r="H145" s="0" t="n">
        <v>0</v>
      </c>
      <c r="I145" s="2" t="n">
        <f aca="false">G145+H145-F145</f>
        <v>0</v>
      </c>
    </row>
    <row r="146" customFormat="false" ht="15.75" hidden="false" customHeight="false" outlineLevel="0" collapsed="false">
      <c r="A146" s="0" t="n">
        <v>2025</v>
      </c>
      <c r="B146" s="0" t="s">
        <v>322</v>
      </c>
      <c r="C146" s="0" t="s">
        <v>323</v>
      </c>
      <c r="D146" s="1" t="s">
        <v>277</v>
      </c>
      <c r="E146" s="0" t="n">
        <v>254</v>
      </c>
      <c r="F146" s="0" t="n">
        <v>0</v>
      </c>
      <c r="G146" s="0" t="n">
        <v>0</v>
      </c>
      <c r="H146" s="0" t="n">
        <v>0</v>
      </c>
      <c r="I146" s="2" t="n">
        <f aca="false">G146+H146-F146</f>
        <v>0</v>
      </c>
    </row>
    <row r="147" customFormat="false" ht="15.75" hidden="false" customHeight="false" outlineLevel="0" collapsed="false">
      <c r="A147" s="0" t="n">
        <v>2025</v>
      </c>
      <c r="B147" s="0" t="s">
        <v>324</v>
      </c>
      <c r="C147" s="0" t="s">
        <v>325</v>
      </c>
      <c r="D147" s="1" t="s">
        <v>277</v>
      </c>
      <c r="E147" s="0" t="n">
        <v>725838531</v>
      </c>
      <c r="F147" s="0" t="n">
        <v>0</v>
      </c>
      <c r="G147" s="0" t="n">
        <v>0</v>
      </c>
      <c r="H147" s="0" t="n">
        <v>500</v>
      </c>
      <c r="I147" s="2" t="n">
        <f aca="false">G147+H147-F147</f>
        <v>500</v>
      </c>
    </row>
    <row r="148" customFormat="false" ht="15.75" hidden="false" customHeight="false" outlineLevel="0" collapsed="false">
      <c r="A148" s="0" t="n">
        <v>2025</v>
      </c>
      <c r="B148" s="0" t="s">
        <v>326</v>
      </c>
      <c r="C148" s="0" t="s">
        <v>327</v>
      </c>
      <c r="D148" s="1" t="s">
        <v>277</v>
      </c>
      <c r="E148" s="0" t="n">
        <v>254</v>
      </c>
      <c r="F148" s="0" t="n">
        <v>0</v>
      </c>
      <c r="G148" s="0" t="n">
        <v>0</v>
      </c>
      <c r="H148" s="0" t="n">
        <v>0</v>
      </c>
      <c r="I148" s="2" t="n">
        <f aca="false">G148+H148-F148</f>
        <v>0</v>
      </c>
    </row>
    <row r="149" customFormat="false" ht="15.75" hidden="false" customHeight="false" outlineLevel="0" collapsed="false">
      <c r="A149" s="0" t="n">
        <v>2025</v>
      </c>
      <c r="B149" s="0" t="s">
        <v>328</v>
      </c>
      <c r="C149" s="0" t="s">
        <v>329</v>
      </c>
      <c r="D149" s="1" t="s">
        <v>277</v>
      </c>
      <c r="E149" s="0" t="n">
        <v>254</v>
      </c>
      <c r="F149" s="0" t="n">
        <v>0</v>
      </c>
      <c r="G149" s="0" t="n">
        <v>0</v>
      </c>
      <c r="H149" s="0" t="n">
        <v>0</v>
      </c>
      <c r="I149" s="2" t="n">
        <f aca="false">G149+H149-F149</f>
        <v>0</v>
      </c>
    </row>
    <row r="150" customFormat="false" ht="15.75" hidden="false" customHeight="false" outlineLevel="0" collapsed="false">
      <c r="A150" s="0" t="n">
        <v>2025</v>
      </c>
      <c r="B150" s="0" t="s">
        <v>330</v>
      </c>
      <c r="C150" s="0" t="s">
        <v>331</v>
      </c>
      <c r="D150" s="1" t="s">
        <v>277</v>
      </c>
      <c r="E150" s="0" t="n">
        <v>254</v>
      </c>
      <c r="F150" s="0" t="n">
        <v>500</v>
      </c>
      <c r="G150" s="0" t="n">
        <v>0</v>
      </c>
      <c r="H150" s="0" t="n">
        <v>0</v>
      </c>
      <c r="I150" s="2" t="n">
        <f aca="false">G150+H150-F150</f>
        <v>-500</v>
      </c>
    </row>
    <row r="151" customFormat="false" ht="15.75" hidden="false" customHeight="false" outlineLevel="0" collapsed="false">
      <c r="A151" s="0" t="n">
        <v>2025</v>
      </c>
      <c r="B151" s="0" t="s">
        <v>332</v>
      </c>
      <c r="C151" s="0" t="s">
        <v>333</v>
      </c>
      <c r="D151" s="1" t="s">
        <v>277</v>
      </c>
      <c r="E151" s="0" t="n">
        <v>254</v>
      </c>
      <c r="F151" s="0" t="n">
        <v>0</v>
      </c>
      <c r="G151" s="0" t="n">
        <v>0</v>
      </c>
      <c r="H151" s="0" t="n">
        <v>0</v>
      </c>
      <c r="I151" s="2" t="n">
        <f aca="false">G151+H151-F151</f>
        <v>0</v>
      </c>
    </row>
    <row r="152" customFormat="false" ht="15.75" hidden="false" customHeight="false" outlineLevel="0" collapsed="false">
      <c r="A152" s="0" t="n">
        <v>2025</v>
      </c>
      <c r="B152" s="0" t="s">
        <v>334</v>
      </c>
      <c r="C152" s="0" t="s">
        <v>335</v>
      </c>
      <c r="D152" s="1" t="s">
        <v>277</v>
      </c>
      <c r="E152" s="0" t="n">
        <v>254</v>
      </c>
      <c r="F152" s="0" t="n">
        <v>0</v>
      </c>
      <c r="G152" s="0" t="n">
        <v>0</v>
      </c>
      <c r="H152" s="0" t="n">
        <v>0</v>
      </c>
      <c r="I152" s="2" t="n">
        <f aca="false">G152+H152-F152</f>
        <v>0</v>
      </c>
    </row>
    <row r="153" customFormat="false" ht="15.75" hidden="false" customHeight="false" outlineLevel="0" collapsed="false">
      <c r="A153" s="0" t="n">
        <v>2025</v>
      </c>
      <c r="B153" s="0" t="s">
        <v>336</v>
      </c>
      <c r="C153" s="0" t="s">
        <v>337</v>
      </c>
      <c r="D153" s="1" t="s">
        <v>277</v>
      </c>
      <c r="E153" s="0" t="n">
        <v>254</v>
      </c>
      <c r="F153" s="0" t="n">
        <v>0</v>
      </c>
      <c r="G153" s="0" t="n">
        <v>0</v>
      </c>
      <c r="H153" s="0" t="n">
        <v>0</v>
      </c>
      <c r="I153" s="2" t="n">
        <f aca="false">G153+H153-F153</f>
        <v>0</v>
      </c>
    </row>
    <row r="154" customFormat="false" ht="15.75" hidden="false" customHeight="false" outlineLevel="0" collapsed="false">
      <c r="A154" s="0" t="n">
        <v>2025</v>
      </c>
      <c r="B154" s="0" t="s">
        <v>338</v>
      </c>
      <c r="C154" s="0" t="s">
        <v>339</v>
      </c>
      <c r="D154" s="1" t="s">
        <v>277</v>
      </c>
      <c r="E154" s="0" t="n">
        <v>254</v>
      </c>
      <c r="F154" s="0" t="n">
        <v>0</v>
      </c>
      <c r="G154" s="0" t="n">
        <v>0</v>
      </c>
      <c r="H154" s="3" t="n">
        <v>4250</v>
      </c>
      <c r="I154" s="2" t="n">
        <f aca="false">G154+H154-F154</f>
        <v>4250</v>
      </c>
    </row>
    <row r="155" customFormat="false" ht="15.75" hidden="false" customHeight="false" outlineLevel="0" collapsed="false">
      <c r="A155" s="0" t="n">
        <v>2025</v>
      </c>
      <c r="B155" s="0" t="s">
        <v>340</v>
      </c>
      <c r="C155" s="0" t="s">
        <v>341</v>
      </c>
      <c r="D155" s="1" t="s">
        <v>277</v>
      </c>
      <c r="E155" s="0" t="n">
        <v>254</v>
      </c>
      <c r="F155" s="0" t="n">
        <v>0</v>
      </c>
      <c r="G155" s="0" t="n">
        <v>0</v>
      </c>
      <c r="H155" s="0" t="n">
        <v>0</v>
      </c>
      <c r="I155" s="2" t="n">
        <f aca="false">G155+H155-F155</f>
        <v>0</v>
      </c>
    </row>
    <row r="156" customFormat="false" ht="15.75" hidden="false" customHeight="false" outlineLevel="0" collapsed="false">
      <c r="A156" s="0" t="n">
        <v>2025</v>
      </c>
      <c r="B156" s="0" t="s">
        <v>342</v>
      </c>
      <c r="C156" s="0" t="s">
        <v>343</v>
      </c>
      <c r="D156" s="1" t="s">
        <v>277</v>
      </c>
      <c r="E156" s="0" t="n">
        <v>254</v>
      </c>
      <c r="F156" s="0" t="n">
        <v>0</v>
      </c>
      <c r="G156" s="0" t="n">
        <v>0</v>
      </c>
      <c r="H156" s="3" t="n">
        <v>1350</v>
      </c>
      <c r="I156" s="2" t="n">
        <f aca="false">G156+H156-F156</f>
        <v>1350</v>
      </c>
    </row>
    <row r="157" customFormat="false" ht="15.75" hidden="false" customHeight="false" outlineLevel="0" collapsed="false">
      <c r="A157" s="0" t="n">
        <v>2025</v>
      </c>
      <c r="B157" s="0" t="s">
        <v>344</v>
      </c>
      <c r="C157" s="0" t="s">
        <v>345</v>
      </c>
      <c r="D157" s="1" t="s">
        <v>277</v>
      </c>
      <c r="E157" s="0" t="n">
        <v>254</v>
      </c>
      <c r="F157" s="0" t="n">
        <v>0</v>
      </c>
      <c r="G157" s="0" t="n">
        <v>0</v>
      </c>
      <c r="H157" s="0" t="n">
        <v>0</v>
      </c>
      <c r="I157" s="2" t="n">
        <f aca="false">G157+H157-F157</f>
        <v>0</v>
      </c>
    </row>
    <row r="158" customFormat="false" ht="15.75" hidden="false" customHeight="false" outlineLevel="0" collapsed="false">
      <c r="A158" s="0" t="n">
        <v>2025</v>
      </c>
      <c r="B158" s="0" t="s">
        <v>346</v>
      </c>
      <c r="C158" s="0" t="s">
        <v>347</v>
      </c>
      <c r="D158" s="1" t="s">
        <v>277</v>
      </c>
      <c r="E158" s="0" t="n">
        <v>254</v>
      </c>
      <c r="F158" s="3" t="n">
        <v>1000</v>
      </c>
      <c r="G158" s="0" t="n">
        <v>0</v>
      </c>
      <c r="H158" s="0" t="n">
        <v>0</v>
      </c>
      <c r="I158" s="2" t="n">
        <f aca="false">G158+H158-F158</f>
        <v>-1000</v>
      </c>
      <c r="L158" s="3"/>
    </row>
    <row r="159" customFormat="false" ht="15.75" hidden="false" customHeight="false" outlineLevel="0" collapsed="false">
      <c r="A159" s="0" t="n">
        <v>2025</v>
      </c>
      <c r="B159" s="0" t="s">
        <v>348</v>
      </c>
      <c r="C159" s="0" t="s">
        <v>349</v>
      </c>
      <c r="D159" s="1" t="s">
        <v>277</v>
      </c>
      <c r="E159" s="0" t="n">
        <v>254</v>
      </c>
      <c r="F159" s="0" t="n">
        <v>0</v>
      </c>
      <c r="G159" s="0" t="n">
        <v>0</v>
      </c>
      <c r="H159" s="3" t="n">
        <v>1500</v>
      </c>
      <c r="I159" s="2" t="n">
        <f aca="false">G159+H159-F159</f>
        <v>1500</v>
      </c>
    </row>
    <row r="160" customFormat="false" ht="15.75" hidden="false" customHeight="false" outlineLevel="0" collapsed="false">
      <c r="A160" s="0" t="n">
        <v>2025</v>
      </c>
      <c r="B160" s="0" t="s">
        <v>350</v>
      </c>
      <c r="C160" s="0" t="s">
        <v>351</v>
      </c>
      <c r="D160" s="1" t="s">
        <v>277</v>
      </c>
      <c r="E160" s="0" t="n">
        <v>254</v>
      </c>
      <c r="F160" s="0" t="n">
        <v>0</v>
      </c>
      <c r="G160" s="0" t="n">
        <v>0</v>
      </c>
      <c r="H160" s="0" t="n">
        <v>0</v>
      </c>
      <c r="I160" s="2" t="n">
        <f aca="false">G160+H160-F160</f>
        <v>0</v>
      </c>
    </row>
    <row r="161" customFormat="false" ht="15.75" hidden="false" customHeight="false" outlineLevel="0" collapsed="false">
      <c r="A161" s="0" t="n">
        <v>2025</v>
      </c>
      <c r="B161" s="0" t="s">
        <v>352</v>
      </c>
      <c r="C161" s="0" t="s">
        <v>353</v>
      </c>
      <c r="D161" s="1" t="s">
        <v>277</v>
      </c>
      <c r="E161" s="0" t="n">
        <v>254</v>
      </c>
      <c r="F161" s="0" t="n">
        <v>300</v>
      </c>
      <c r="G161" s="0" t="n">
        <v>0</v>
      </c>
      <c r="H161" s="0" t="n">
        <v>0</v>
      </c>
      <c r="I161" s="2" t="n">
        <f aca="false">G161+H161-F161</f>
        <v>-300</v>
      </c>
    </row>
    <row r="162" customFormat="false" ht="15.75" hidden="false" customHeight="false" outlineLevel="0" collapsed="false">
      <c r="A162" s="0" t="n">
        <v>2025</v>
      </c>
      <c r="B162" s="0" t="s">
        <v>354</v>
      </c>
      <c r="C162" s="0" t="s">
        <v>355</v>
      </c>
      <c r="D162" s="1" t="s">
        <v>277</v>
      </c>
      <c r="E162" s="0" t="n">
        <v>254</v>
      </c>
      <c r="F162" s="0" t="n">
        <v>0</v>
      </c>
      <c r="G162" s="0" t="n">
        <v>0</v>
      </c>
      <c r="H162" s="0" t="n">
        <v>0</v>
      </c>
      <c r="I162" s="2" t="n">
        <f aca="false">G162+H162-F162</f>
        <v>0</v>
      </c>
    </row>
    <row r="163" customFormat="false" ht="15.75" hidden="false" customHeight="false" outlineLevel="0" collapsed="false">
      <c r="A163" s="0" t="n">
        <v>2025</v>
      </c>
      <c r="B163" s="0" t="s">
        <v>356</v>
      </c>
      <c r="C163" s="0" t="s">
        <v>357</v>
      </c>
      <c r="D163" s="1" t="s">
        <v>277</v>
      </c>
      <c r="E163" s="0" t="n">
        <v>254</v>
      </c>
      <c r="F163" s="0" t="n">
        <v>0</v>
      </c>
      <c r="G163" s="0" t="n">
        <v>0</v>
      </c>
      <c r="H163" s="0" t="n">
        <v>0</v>
      </c>
      <c r="I163" s="2" t="n">
        <f aca="false">G163+H163-F163</f>
        <v>0</v>
      </c>
    </row>
    <row r="164" customFormat="false" ht="15.75" hidden="false" customHeight="false" outlineLevel="0" collapsed="false">
      <c r="A164" s="0" t="n">
        <v>2025</v>
      </c>
      <c r="B164" s="0" t="s">
        <v>358</v>
      </c>
      <c r="C164" s="0" t="s">
        <v>359</v>
      </c>
      <c r="D164" s="1" t="s">
        <v>277</v>
      </c>
      <c r="E164" s="0" t="n">
        <v>254</v>
      </c>
      <c r="F164" s="0" t="n">
        <v>0</v>
      </c>
      <c r="G164" s="0" t="n">
        <v>0</v>
      </c>
      <c r="H164" s="0" t="n">
        <v>0</v>
      </c>
      <c r="I164" s="2" t="n">
        <f aca="false">G164+H164-F164</f>
        <v>0</v>
      </c>
    </row>
    <row r="165" customFormat="false" ht="15.75" hidden="false" customHeight="false" outlineLevel="0" collapsed="false">
      <c r="A165" s="0" t="n">
        <v>2025</v>
      </c>
      <c r="B165" s="0" t="s">
        <v>360</v>
      </c>
      <c r="C165" s="0" t="s">
        <v>361</v>
      </c>
      <c r="D165" s="1" t="s">
        <v>277</v>
      </c>
      <c r="E165" s="0" t="n">
        <v>254</v>
      </c>
      <c r="F165" s="0" t="n">
        <v>0</v>
      </c>
      <c r="G165" s="0" t="n">
        <v>0</v>
      </c>
      <c r="H165" s="0" t="n">
        <v>0</v>
      </c>
      <c r="I165" s="2" t="n">
        <f aca="false">G165+H165-F165</f>
        <v>0</v>
      </c>
    </row>
    <row r="166" customFormat="false" ht="15.75" hidden="false" customHeight="false" outlineLevel="0" collapsed="false">
      <c r="A166" s="0" t="n">
        <v>2025</v>
      </c>
      <c r="B166" s="0" t="s">
        <v>362</v>
      </c>
      <c r="C166" s="0" t="s">
        <v>363</v>
      </c>
      <c r="D166" s="1" t="s">
        <v>277</v>
      </c>
      <c r="E166" s="0" t="n">
        <v>254</v>
      </c>
      <c r="F166" s="0" t="n">
        <v>0</v>
      </c>
      <c r="G166" s="0" t="n">
        <v>0</v>
      </c>
      <c r="H166" s="0" t="n">
        <v>0</v>
      </c>
      <c r="I166" s="2" t="n">
        <f aca="false">G166+H166-F166</f>
        <v>0</v>
      </c>
    </row>
    <row r="167" customFormat="false" ht="15.75" hidden="false" customHeight="false" outlineLevel="0" collapsed="false">
      <c r="A167" s="0" t="n">
        <v>2024</v>
      </c>
      <c r="B167" s="0" t="s">
        <v>364</v>
      </c>
      <c r="C167" s="0" t="s">
        <v>365</v>
      </c>
      <c r="D167" s="1" t="s">
        <v>366</v>
      </c>
      <c r="E167" s="0" t="n">
        <v>254</v>
      </c>
      <c r="F167" s="0" t="n">
        <v>0</v>
      </c>
      <c r="G167" s="0" t="n">
        <v>0</v>
      </c>
      <c r="H167" s="0" t="n">
        <v>0</v>
      </c>
      <c r="I167" s="2" t="n">
        <f aca="false">G167+H167-F167</f>
        <v>0</v>
      </c>
    </row>
    <row r="168" customFormat="false" ht="15.75" hidden="false" customHeight="false" outlineLevel="0" collapsed="false">
      <c r="A168" s="0" t="n">
        <v>2025</v>
      </c>
      <c r="B168" s="0" t="s">
        <v>367</v>
      </c>
      <c r="C168" s="0" t="s">
        <v>368</v>
      </c>
      <c r="D168" s="1" t="s">
        <v>277</v>
      </c>
      <c r="E168" s="0" t="n">
        <v>254</v>
      </c>
      <c r="F168" s="0" t="n">
        <v>0</v>
      </c>
      <c r="G168" s="0" t="n">
        <v>0</v>
      </c>
      <c r="H168" s="0" t="n">
        <v>0</v>
      </c>
      <c r="I168" s="2" t="n">
        <f aca="false">G168+H168-F168</f>
        <v>0</v>
      </c>
    </row>
    <row r="169" customFormat="false" ht="15.75" hidden="false" customHeight="false" outlineLevel="0" collapsed="false">
      <c r="A169" s="0" t="n">
        <v>2025</v>
      </c>
      <c r="B169" s="0" t="s">
        <v>369</v>
      </c>
      <c r="C169" s="0" t="s">
        <v>370</v>
      </c>
      <c r="D169" s="1" t="s">
        <v>277</v>
      </c>
      <c r="E169" s="0" t="n">
        <v>254</v>
      </c>
      <c r="F169" s="0" t="n">
        <v>0</v>
      </c>
      <c r="G169" s="0" t="n">
        <v>0</v>
      </c>
      <c r="H169" s="0" t="n">
        <v>0</v>
      </c>
      <c r="I169" s="2" t="n">
        <f aca="false">G169+H169-F169</f>
        <v>0</v>
      </c>
    </row>
    <row r="170" customFormat="false" ht="15.75" hidden="false" customHeight="false" outlineLevel="0" collapsed="false">
      <c r="A170" s="0" t="n">
        <v>2025</v>
      </c>
      <c r="B170" s="0" t="s">
        <v>371</v>
      </c>
      <c r="C170" s="0" t="s">
        <v>372</v>
      </c>
      <c r="D170" s="1" t="s">
        <v>277</v>
      </c>
      <c r="E170" s="0" t="n">
        <v>254</v>
      </c>
      <c r="F170" s="0" t="n">
        <v>0</v>
      </c>
      <c r="G170" s="0" t="n">
        <v>0</v>
      </c>
      <c r="H170" s="0" t="n">
        <v>0</v>
      </c>
      <c r="I170" s="2" t="n">
        <f aca="false">G170+H170-F170</f>
        <v>0</v>
      </c>
    </row>
    <row r="171" customFormat="false" ht="15.75" hidden="false" customHeight="false" outlineLevel="0" collapsed="false">
      <c r="A171" s="0" t="n">
        <v>2025</v>
      </c>
      <c r="B171" s="0" t="s">
        <v>373</v>
      </c>
      <c r="C171" s="0" t="s">
        <v>374</v>
      </c>
      <c r="D171" s="1" t="s">
        <v>277</v>
      </c>
      <c r="E171" s="0" t="n">
        <v>254</v>
      </c>
      <c r="F171" s="0" t="n">
        <v>0</v>
      </c>
      <c r="G171" s="0" t="n">
        <v>0</v>
      </c>
      <c r="H171" s="0" t="n">
        <v>0</v>
      </c>
      <c r="I171" s="2" t="n">
        <f aca="false">G171+H171-F171</f>
        <v>0</v>
      </c>
    </row>
    <row r="172" customFormat="false" ht="15.75" hidden="false" customHeight="false" outlineLevel="0" collapsed="false">
      <c r="A172" s="0" t="n">
        <v>2025</v>
      </c>
      <c r="B172" s="0" t="s">
        <v>375</v>
      </c>
      <c r="C172" s="0" t="s">
        <v>376</v>
      </c>
      <c r="D172" s="1" t="s">
        <v>277</v>
      </c>
      <c r="E172" s="0" t="n">
        <v>254</v>
      </c>
      <c r="F172" s="0" t="n">
        <v>0</v>
      </c>
      <c r="G172" s="0" t="n">
        <v>0</v>
      </c>
      <c r="H172" s="0" t="n">
        <v>0</v>
      </c>
      <c r="I172" s="2" t="n">
        <f aca="false">G172+H172-F172</f>
        <v>0</v>
      </c>
    </row>
    <row r="173" customFormat="false" ht="15.75" hidden="false" customHeight="false" outlineLevel="0" collapsed="false">
      <c r="A173" s="0" t="n">
        <v>2025</v>
      </c>
      <c r="B173" s="0" t="s">
        <v>377</v>
      </c>
      <c r="C173" s="0" t="s">
        <v>378</v>
      </c>
      <c r="D173" s="1" t="s">
        <v>277</v>
      </c>
      <c r="E173" s="0" t="n">
        <v>254</v>
      </c>
      <c r="F173" s="0" t="n">
        <v>0</v>
      </c>
      <c r="G173" s="0" t="n">
        <v>0</v>
      </c>
      <c r="H173" s="3" t="n">
        <v>3500</v>
      </c>
      <c r="I173" s="2" t="n">
        <f aca="false">G173+H173-F173</f>
        <v>3500</v>
      </c>
    </row>
    <row r="174" customFormat="false" ht="15.75" hidden="false" customHeight="false" outlineLevel="0" collapsed="false">
      <c r="A174" s="0" t="n">
        <v>2025</v>
      </c>
      <c r="B174" s="0" t="s">
        <v>379</v>
      </c>
      <c r="C174" s="0" t="s">
        <v>380</v>
      </c>
      <c r="D174" s="1" t="s">
        <v>366</v>
      </c>
      <c r="E174" s="0" t="n">
        <v>254</v>
      </c>
      <c r="F174" s="0" t="n">
        <v>0</v>
      </c>
      <c r="G174" s="0" t="n">
        <v>0</v>
      </c>
      <c r="H174" s="0" t="n">
        <v>0</v>
      </c>
      <c r="I174" s="2" t="n">
        <f aca="false">G174+H174-F174</f>
        <v>0</v>
      </c>
    </row>
    <row r="175" customFormat="false" ht="15.75" hidden="false" customHeight="false" outlineLevel="0" collapsed="false">
      <c r="A175" s="0" t="n">
        <v>2025</v>
      </c>
      <c r="B175" s="0" t="s">
        <v>381</v>
      </c>
      <c r="C175" s="0" t="s">
        <v>382</v>
      </c>
      <c r="D175" s="1" t="s">
        <v>366</v>
      </c>
      <c r="E175" s="0" t="n">
        <v>790435536</v>
      </c>
      <c r="F175" s="0" t="n">
        <v>0</v>
      </c>
      <c r="G175" s="0" t="n">
        <v>0</v>
      </c>
      <c r="H175" s="0" t="n">
        <v>0</v>
      </c>
      <c r="I175" s="2" t="n">
        <f aca="false">G175+H175-F175</f>
        <v>0</v>
      </c>
    </row>
    <row r="176" customFormat="false" ht="15.75" hidden="false" customHeight="false" outlineLevel="0" collapsed="false">
      <c r="A176" s="0" t="n">
        <v>2025</v>
      </c>
      <c r="B176" s="0" t="s">
        <v>383</v>
      </c>
      <c r="C176" s="0" t="s">
        <v>384</v>
      </c>
      <c r="D176" s="1" t="s">
        <v>366</v>
      </c>
      <c r="E176" s="0" t="n">
        <v>254</v>
      </c>
      <c r="F176" s="0" t="n">
        <v>0</v>
      </c>
      <c r="G176" s="0" t="n">
        <v>0</v>
      </c>
      <c r="H176" s="0" t="n">
        <v>0</v>
      </c>
      <c r="I176" s="2" t="n">
        <f aca="false">G176+H176-F176</f>
        <v>0</v>
      </c>
    </row>
    <row r="177" customFormat="false" ht="15.75" hidden="false" customHeight="false" outlineLevel="0" collapsed="false">
      <c r="A177" s="0" t="n">
        <v>2025</v>
      </c>
      <c r="B177" s="0" t="s">
        <v>385</v>
      </c>
      <c r="C177" s="0" t="s">
        <v>386</v>
      </c>
      <c r="D177" s="1" t="s">
        <v>366</v>
      </c>
      <c r="E177" s="0" t="n">
        <v>254</v>
      </c>
      <c r="F177" s="0" t="n">
        <v>0</v>
      </c>
      <c r="G177" s="0" t="n">
        <v>0</v>
      </c>
      <c r="H177" s="0" t="n">
        <v>0</v>
      </c>
      <c r="I177" s="2" t="n">
        <f aca="false">G177+H177-F177</f>
        <v>0</v>
      </c>
    </row>
    <row r="178" customFormat="false" ht="15.75" hidden="false" customHeight="false" outlineLevel="0" collapsed="false">
      <c r="A178" s="0" t="n">
        <v>2025</v>
      </c>
      <c r="B178" s="0" t="s">
        <v>387</v>
      </c>
      <c r="C178" s="0" t="s">
        <v>388</v>
      </c>
      <c r="D178" s="1" t="s">
        <v>366</v>
      </c>
      <c r="E178" s="0" t="n">
        <v>254</v>
      </c>
      <c r="F178" s="0" t="n">
        <v>0</v>
      </c>
      <c r="G178" s="0" t="n">
        <v>0</v>
      </c>
      <c r="H178" s="0" t="n">
        <v>0</v>
      </c>
      <c r="I178" s="2" t="n">
        <f aca="false">G178+H178-F178</f>
        <v>0</v>
      </c>
    </row>
    <row r="179" customFormat="false" ht="15.75" hidden="false" customHeight="false" outlineLevel="0" collapsed="false">
      <c r="A179" s="0" t="n">
        <v>2025</v>
      </c>
      <c r="B179" s="0" t="s">
        <v>389</v>
      </c>
      <c r="C179" s="0" t="s">
        <v>390</v>
      </c>
      <c r="D179" s="1" t="s">
        <v>366</v>
      </c>
      <c r="E179" s="0" t="n">
        <v>254</v>
      </c>
      <c r="F179" s="0" t="n">
        <v>0</v>
      </c>
      <c r="G179" s="0" t="n">
        <v>0</v>
      </c>
      <c r="H179" s="0" t="n">
        <v>0</v>
      </c>
      <c r="I179" s="2" t="n">
        <f aca="false">G179+H179-F179</f>
        <v>0</v>
      </c>
    </row>
    <row r="180" customFormat="false" ht="15.75" hidden="false" customHeight="false" outlineLevel="0" collapsed="false">
      <c r="A180" s="0" t="n">
        <v>2025</v>
      </c>
      <c r="B180" s="0" t="s">
        <v>391</v>
      </c>
      <c r="C180" s="0" t="s">
        <v>392</v>
      </c>
      <c r="D180" s="1" t="s">
        <v>366</v>
      </c>
      <c r="E180" s="0" t="n">
        <v>254</v>
      </c>
      <c r="F180" s="0" t="n">
        <v>0</v>
      </c>
      <c r="G180" s="0" t="n">
        <v>0</v>
      </c>
      <c r="H180" s="0" t="n">
        <v>0</v>
      </c>
      <c r="I180" s="2" t="n">
        <f aca="false">G180+H180-F180</f>
        <v>0</v>
      </c>
    </row>
    <row r="181" customFormat="false" ht="15.75" hidden="false" customHeight="false" outlineLevel="0" collapsed="false">
      <c r="A181" s="0" t="n">
        <v>2025</v>
      </c>
      <c r="B181" s="0" t="s">
        <v>393</v>
      </c>
      <c r="C181" s="0" t="s">
        <v>394</v>
      </c>
      <c r="D181" s="1" t="s">
        <v>366</v>
      </c>
      <c r="E181" s="0" t="n">
        <v>254</v>
      </c>
      <c r="F181" s="0" t="n">
        <v>0</v>
      </c>
      <c r="G181" s="0" t="n">
        <v>0</v>
      </c>
      <c r="H181" s="3" t="n">
        <v>2500</v>
      </c>
      <c r="I181" s="2" t="n">
        <f aca="false">G181+H181-F181</f>
        <v>2500</v>
      </c>
    </row>
    <row r="182" customFormat="false" ht="15.75" hidden="false" customHeight="false" outlineLevel="0" collapsed="false">
      <c r="A182" s="0" t="n">
        <v>2025</v>
      </c>
      <c r="B182" s="0" t="s">
        <v>395</v>
      </c>
      <c r="C182" s="0" t="s">
        <v>396</v>
      </c>
      <c r="D182" s="1" t="s">
        <v>366</v>
      </c>
      <c r="E182" s="0" t="n">
        <v>254</v>
      </c>
      <c r="F182" s="0" t="n">
        <v>0</v>
      </c>
      <c r="G182" s="0" t="n">
        <v>0</v>
      </c>
      <c r="H182" s="0" t="n">
        <v>0</v>
      </c>
      <c r="I182" s="2" t="n">
        <f aca="false">G182+H182-F182</f>
        <v>0</v>
      </c>
    </row>
    <row r="183" customFormat="false" ht="15.75" hidden="false" customHeight="false" outlineLevel="0" collapsed="false">
      <c r="A183" s="0" t="n">
        <v>2025</v>
      </c>
      <c r="B183" s="0" t="s">
        <v>397</v>
      </c>
      <c r="C183" s="0" t="s">
        <v>398</v>
      </c>
      <c r="D183" s="1" t="s">
        <v>366</v>
      </c>
      <c r="E183" s="0" t="n">
        <v>254</v>
      </c>
      <c r="F183" s="0" t="n">
        <v>0</v>
      </c>
      <c r="G183" s="0" t="n">
        <v>0</v>
      </c>
      <c r="H183" s="0" t="n">
        <v>0</v>
      </c>
      <c r="I183" s="2" t="n">
        <f aca="false">G183+H183-F183</f>
        <v>0</v>
      </c>
    </row>
    <row r="184" customFormat="false" ht="15.75" hidden="false" customHeight="false" outlineLevel="0" collapsed="false">
      <c r="A184" s="0" t="n">
        <v>2025</v>
      </c>
      <c r="B184" s="0" t="s">
        <v>399</v>
      </c>
      <c r="C184" s="0" t="s">
        <v>400</v>
      </c>
      <c r="D184" s="1" t="s">
        <v>366</v>
      </c>
      <c r="E184" s="0" t="n">
        <v>254</v>
      </c>
      <c r="F184" s="0" t="n">
        <v>0</v>
      </c>
      <c r="G184" s="0" t="n">
        <v>0</v>
      </c>
      <c r="H184" s="0" t="n">
        <v>0</v>
      </c>
      <c r="I184" s="2" t="n">
        <f aca="false">G184+H184-F184</f>
        <v>0</v>
      </c>
    </row>
    <row r="185" customFormat="false" ht="15.75" hidden="false" customHeight="false" outlineLevel="0" collapsed="false">
      <c r="A185" s="0" t="n">
        <v>2025</v>
      </c>
      <c r="B185" s="0" t="s">
        <v>401</v>
      </c>
      <c r="C185" s="0" t="s">
        <v>402</v>
      </c>
      <c r="D185" s="1" t="s">
        <v>366</v>
      </c>
      <c r="E185" s="0" t="n">
        <v>254</v>
      </c>
      <c r="F185" s="3" t="n">
        <v>6000</v>
      </c>
      <c r="G185" s="0" t="n">
        <v>0</v>
      </c>
      <c r="H185" s="3" t="n">
        <f aca="false">0</f>
        <v>0</v>
      </c>
      <c r="I185" s="2" t="n">
        <f aca="false">G185+H185-F185</f>
        <v>-6000</v>
      </c>
      <c r="L185" s="3"/>
    </row>
    <row r="186" customFormat="false" ht="15.75" hidden="false" customHeight="false" outlineLevel="0" collapsed="false">
      <c r="A186" s="0" t="n">
        <v>2025</v>
      </c>
      <c r="B186" s="0" t="s">
        <v>403</v>
      </c>
      <c r="C186" s="0" t="s">
        <v>404</v>
      </c>
      <c r="D186" s="1" t="s">
        <v>366</v>
      </c>
      <c r="E186" s="0" t="n">
        <v>254</v>
      </c>
      <c r="F186" s="0" t="n">
        <v>0</v>
      </c>
      <c r="G186" s="0" t="n">
        <v>0</v>
      </c>
      <c r="H186" s="0" t="n">
        <v>0</v>
      </c>
      <c r="I186" s="2" t="n">
        <f aca="false">G186+H186-F186</f>
        <v>0</v>
      </c>
    </row>
    <row r="187" customFormat="false" ht="15.75" hidden="false" customHeight="false" outlineLevel="0" collapsed="false">
      <c r="A187" s="0" t="n">
        <v>2025</v>
      </c>
      <c r="B187" s="0" t="s">
        <v>405</v>
      </c>
      <c r="C187" s="0" t="s">
        <v>406</v>
      </c>
      <c r="D187" s="1" t="s">
        <v>366</v>
      </c>
      <c r="E187" s="0" t="n">
        <v>254</v>
      </c>
      <c r="F187" s="0" t="n">
        <v>0</v>
      </c>
      <c r="G187" s="0" t="n">
        <v>0</v>
      </c>
      <c r="H187" s="0" t="n">
        <v>0</v>
      </c>
      <c r="I187" s="2" t="n">
        <f aca="false">G187+H187-F187</f>
        <v>0</v>
      </c>
    </row>
    <row r="188" customFormat="false" ht="15.75" hidden="false" customHeight="false" outlineLevel="0" collapsed="false">
      <c r="A188" s="0" t="n">
        <v>2025</v>
      </c>
      <c r="B188" s="0" t="s">
        <v>407</v>
      </c>
      <c r="C188" s="0" t="s">
        <v>408</v>
      </c>
      <c r="D188" s="1" t="s">
        <v>366</v>
      </c>
      <c r="E188" s="0" t="n">
        <v>254</v>
      </c>
      <c r="F188" s="0" t="n">
        <v>0</v>
      </c>
      <c r="G188" s="0" t="n">
        <v>0</v>
      </c>
      <c r="H188" s="0" t="n">
        <v>0</v>
      </c>
      <c r="I188" s="2" t="n">
        <f aca="false">G188+H188-F188</f>
        <v>0</v>
      </c>
    </row>
    <row r="189" customFormat="false" ht="15.75" hidden="false" customHeight="false" outlineLevel="0" collapsed="false">
      <c r="A189" s="0" t="n">
        <v>2025</v>
      </c>
      <c r="B189" s="0" t="s">
        <v>409</v>
      </c>
      <c r="C189" s="0" t="s">
        <v>410</v>
      </c>
      <c r="D189" s="1" t="s">
        <v>366</v>
      </c>
      <c r="E189" s="0" t="n">
        <v>254</v>
      </c>
      <c r="F189" s="0" t="n">
        <v>500</v>
      </c>
      <c r="G189" s="0" t="n">
        <v>0</v>
      </c>
      <c r="H189" s="0" t="n">
        <v>0</v>
      </c>
      <c r="I189" s="2" t="n">
        <f aca="false">G189+H189-F189</f>
        <v>-500</v>
      </c>
    </row>
    <row r="190" customFormat="false" ht="15.75" hidden="false" customHeight="false" outlineLevel="0" collapsed="false">
      <c r="A190" s="0" t="n">
        <v>2025</v>
      </c>
      <c r="B190" s="0" t="s">
        <v>411</v>
      </c>
      <c r="C190" s="0" t="s">
        <v>412</v>
      </c>
      <c r="D190" s="1" t="s">
        <v>366</v>
      </c>
      <c r="E190" s="0" t="n">
        <v>254</v>
      </c>
      <c r="F190" s="0" t="n">
        <v>300</v>
      </c>
      <c r="G190" s="0" t="n">
        <v>0</v>
      </c>
      <c r="H190" s="0" t="n">
        <v>0</v>
      </c>
      <c r="I190" s="2" t="n">
        <f aca="false">G190+H190-F190</f>
        <v>-300</v>
      </c>
    </row>
    <row r="191" customFormat="false" ht="15.75" hidden="false" customHeight="false" outlineLevel="0" collapsed="false">
      <c r="A191" s="0" t="n">
        <v>2025</v>
      </c>
      <c r="B191" s="0" t="s">
        <v>413</v>
      </c>
      <c r="C191" s="0" t="s">
        <v>414</v>
      </c>
      <c r="D191" s="1" t="s">
        <v>366</v>
      </c>
      <c r="E191" s="0" t="n">
        <v>254</v>
      </c>
      <c r="F191" s="0" t="n">
        <v>0</v>
      </c>
      <c r="G191" s="0" t="n">
        <v>0</v>
      </c>
      <c r="H191" s="0" t="n">
        <v>500</v>
      </c>
      <c r="I191" s="2" t="n">
        <f aca="false">G191+H191-F191</f>
        <v>500</v>
      </c>
    </row>
    <row r="192" customFormat="false" ht="15.75" hidden="false" customHeight="false" outlineLevel="0" collapsed="false">
      <c r="A192" s="0" t="n">
        <v>2025</v>
      </c>
      <c r="B192" s="0" t="s">
        <v>415</v>
      </c>
      <c r="C192" s="0" t="s">
        <v>416</v>
      </c>
      <c r="D192" s="1" t="s">
        <v>366</v>
      </c>
      <c r="E192" s="0" t="n">
        <v>254</v>
      </c>
      <c r="F192" s="0" t="n">
        <v>0</v>
      </c>
      <c r="G192" s="0" t="n">
        <v>0</v>
      </c>
      <c r="H192" s="3" t="n">
        <v>1500</v>
      </c>
      <c r="I192" s="2" t="n">
        <f aca="false">G192+H192-F192</f>
        <v>1500</v>
      </c>
    </row>
    <row r="193" customFormat="false" ht="15.75" hidden="false" customHeight="false" outlineLevel="0" collapsed="false">
      <c r="A193" s="0" t="n">
        <v>2025</v>
      </c>
      <c r="B193" s="0" t="s">
        <v>417</v>
      </c>
      <c r="C193" s="0" t="s">
        <v>418</v>
      </c>
      <c r="D193" s="1" t="s">
        <v>366</v>
      </c>
      <c r="E193" s="0" t="n">
        <v>254</v>
      </c>
      <c r="F193" s="0" t="n">
        <v>300</v>
      </c>
      <c r="G193" s="0" t="n">
        <v>0</v>
      </c>
      <c r="H193" s="0" t="n">
        <v>0</v>
      </c>
      <c r="I193" s="2" t="n">
        <f aca="false">G193+H193-F193</f>
        <v>-300</v>
      </c>
    </row>
    <row r="194" customFormat="false" ht="15.75" hidden="false" customHeight="false" outlineLevel="0" collapsed="false">
      <c r="A194" s="0" t="n">
        <v>2025</v>
      </c>
      <c r="B194" s="0" t="s">
        <v>419</v>
      </c>
      <c r="C194" s="0" t="s">
        <v>420</v>
      </c>
      <c r="D194" s="1" t="s">
        <v>366</v>
      </c>
      <c r="E194" s="0" t="n">
        <v>254</v>
      </c>
      <c r="F194" s="0" t="n">
        <v>0</v>
      </c>
      <c r="G194" s="0" t="n">
        <v>0</v>
      </c>
      <c r="H194" s="0" t="n">
        <v>0</v>
      </c>
      <c r="I194" s="2" t="n">
        <f aca="false">G194+H194-F194</f>
        <v>0</v>
      </c>
    </row>
    <row r="195" customFormat="false" ht="15.75" hidden="false" customHeight="false" outlineLevel="0" collapsed="false">
      <c r="A195" s="0" t="n">
        <v>2025</v>
      </c>
      <c r="B195" s="0" t="s">
        <v>421</v>
      </c>
      <c r="C195" s="0" t="s">
        <v>422</v>
      </c>
      <c r="D195" s="1" t="s">
        <v>423</v>
      </c>
      <c r="E195" s="0" t="n">
        <v>254</v>
      </c>
      <c r="F195" s="0" t="n">
        <v>0</v>
      </c>
      <c r="G195" s="0" t="n">
        <v>0</v>
      </c>
      <c r="H195" s="3" t="n">
        <v>1000</v>
      </c>
      <c r="I195" s="2" t="n">
        <f aca="false">G195+H195-F195</f>
        <v>1000</v>
      </c>
    </row>
    <row r="196" customFormat="false" ht="15.75" hidden="false" customHeight="false" outlineLevel="0" collapsed="false">
      <c r="A196" s="0" t="n">
        <v>2025</v>
      </c>
      <c r="B196" s="0" t="s">
        <v>424</v>
      </c>
      <c r="C196" s="0" t="s">
        <v>425</v>
      </c>
      <c r="D196" s="1" t="s">
        <v>366</v>
      </c>
      <c r="E196" s="0" t="n">
        <v>254</v>
      </c>
      <c r="F196" s="0" t="n">
        <v>0</v>
      </c>
      <c r="G196" s="0" t="n">
        <v>0</v>
      </c>
      <c r="H196" s="0" t="n">
        <v>0</v>
      </c>
      <c r="I196" s="2" t="n">
        <f aca="false">G196+H196-F196</f>
        <v>0</v>
      </c>
    </row>
    <row r="197" customFormat="false" ht="15.75" hidden="false" customHeight="false" outlineLevel="0" collapsed="false">
      <c r="A197" s="0" t="n">
        <v>2025</v>
      </c>
      <c r="B197" s="0" t="s">
        <v>426</v>
      </c>
      <c r="C197" s="0" t="s">
        <v>427</v>
      </c>
      <c r="D197" s="1" t="s">
        <v>366</v>
      </c>
      <c r="E197" s="0" t="n">
        <v>254</v>
      </c>
      <c r="F197" s="3" t="n">
        <v>1000</v>
      </c>
      <c r="G197" s="0" t="n">
        <v>0</v>
      </c>
      <c r="H197" s="0" t="n">
        <v>0</v>
      </c>
      <c r="I197" s="2" t="n">
        <f aca="false">G197+H197-F197</f>
        <v>-1000</v>
      </c>
      <c r="L197" s="3"/>
    </row>
    <row r="198" customFormat="false" ht="15.75" hidden="false" customHeight="false" outlineLevel="0" collapsed="false">
      <c r="A198" s="0" t="n">
        <v>2025</v>
      </c>
      <c r="B198" s="0" t="s">
        <v>428</v>
      </c>
      <c r="C198" s="0" t="s">
        <v>429</v>
      </c>
      <c r="D198" s="1" t="s">
        <v>366</v>
      </c>
      <c r="E198" s="0" t="n">
        <v>254</v>
      </c>
      <c r="F198" s="3"/>
      <c r="G198" s="0" t="n">
        <v>0</v>
      </c>
      <c r="H198" s="3" t="n">
        <f aca="false">6250</f>
        <v>6250</v>
      </c>
      <c r="I198" s="2" t="n">
        <f aca="false">G198+H198-F198</f>
        <v>6250</v>
      </c>
      <c r="L198" s="3"/>
    </row>
    <row r="199" customFormat="false" ht="15.75" hidden="false" customHeight="false" outlineLevel="0" collapsed="false">
      <c r="A199" s="0" t="n">
        <v>2025</v>
      </c>
      <c r="B199" s="0" t="s">
        <v>430</v>
      </c>
      <c r="C199" s="0" t="s">
        <v>431</v>
      </c>
      <c r="D199" s="1" t="s">
        <v>366</v>
      </c>
      <c r="E199" s="0" t="n">
        <v>254</v>
      </c>
      <c r="F199" s="0" t="n">
        <v>0</v>
      </c>
      <c r="G199" s="0" t="n">
        <v>0</v>
      </c>
      <c r="H199" s="3" t="n">
        <v>4250</v>
      </c>
      <c r="I199" s="2" t="n">
        <f aca="false">G199+H199-F199</f>
        <v>4250</v>
      </c>
    </row>
    <row r="200" customFormat="false" ht="15.75" hidden="false" customHeight="false" outlineLevel="0" collapsed="false">
      <c r="A200" s="0" t="n">
        <v>2025</v>
      </c>
      <c r="B200" s="0" t="s">
        <v>432</v>
      </c>
      <c r="C200" s="0" t="s">
        <v>433</v>
      </c>
      <c r="D200" s="1" t="s">
        <v>366</v>
      </c>
      <c r="E200" s="0" t="n">
        <v>254</v>
      </c>
      <c r="F200" s="0" t="n">
        <v>0</v>
      </c>
      <c r="G200" s="0" t="n">
        <v>0</v>
      </c>
      <c r="H200" s="3" t="n">
        <v>4000</v>
      </c>
      <c r="I200" s="2" t="n">
        <f aca="false">G200+H200-F200</f>
        <v>4000</v>
      </c>
    </row>
    <row r="201" customFormat="false" ht="15.75" hidden="false" customHeight="false" outlineLevel="0" collapsed="false">
      <c r="A201" s="0" t="n">
        <v>2025</v>
      </c>
      <c r="B201" s="0" t="s">
        <v>434</v>
      </c>
      <c r="C201" s="0" t="s">
        <v>435</v>
      </c>
      <c r="D201" s="1" t="s">
        <v>366</v>
      </c>
      <c r="E201" s="0" t="n">
        <v>254</v>
      </c>
      <c r="F201" s="0" t="n">
        <v>0</v>
      </c>
      <c r="G201" s="0" t="n">
        <v>0</v>
      </c>
      <c r="H201" s="0" t="n">
        <v>0</v>
      </c>
      <c r="I201" s="2" t="n">
        <f aca="false">G201+H201-F201</f>
        <v>0</v>
      </c>
    </row>
    <row r="202" customFormat="false" ht="15.75" hidden="false" customHeight="false" outlineLevel="0" collapsed="false">
      <c r="A202" s="0" t="n">
        <v>2025</v>
      </c>
      <c r="B202" s="0" t="s">
        <v>436</v>
      </c>
      <c r="C202" s="0" t="s">
        <v>437</v>
      </c>
      <c r="D202" s="1" t="s">
        <v>366</v>
      </c>
      <c r="E202" s="0" t="n">
        <v>254</v>
      </c>
      <c r="F202" s="0" t="n">
        <v>0</v>
      </c>
      <c r="G202" s="0" t="n">
        <v>0</v>
      </c>
      <c r="H202" s="0" t="n">
        <v>0</v>
      </c>
      <c r="I202" s="2" t="n">
        <f aca="false">G202+H202-F202</f>
        <v>0</v>
      </c>
    </row>
    <row r="203" customFormat="false" ht="15.75" hidden="false" customHeight="false" outlineLevel="0" collapsed="false">
      <c r="A203" s="0" t="n">
        <v>2025</v>
      </c>
      <c r="B203" s="0" t="s">
        <v>438</v>
      </c>
      <c r="C203" s="0" t="s">
        <v>439</v>
      </c>
      <c r="D203" s="1" t="s">
        <v>366</v>
      </c>
      <c r="E203" s="0" t="n">
        <v>254</v>
      </c>
      <c r="F203" s="0" t="n">
        <v>0</v>
      </c>
      <c r="G203" s="0" t="n">
        <v>0</v>
      </c>
      <c r="H203" s="0" t="n">
        <v>0</v>
      </c>
      <c r="I203" s="2" t="n">
        <f aca="false">G203+H203-F203</f>
        <v>0</v>
      </c>
    </row>
    <row r="204" customFormat="false" ht="15.75" hidden="false" customHeight="false" outlineLevel="0" collapsed="false">
      <c r="A204" s="0" t="n">
        <v>2025</v>
      </c>
      <c r="B204" s="0" t="s">
        <v>440</v>
      </c>
      <c r="C204" s="0" t="s">
        <v>441</v>
      </c>
      <c r="D204" s="1" t="s">
        <v>366</v>
      </c>
      <c r="E204" s="0" t="n">
        <v>254</v>
      </c>
      <c r="F204" s="0" t="n">
        <v>0</v>
      </c>
      <c r="G204" s="0" t="n">
        <v>0</v>
      </c>
      <c r="H204" s="0" t="n">
        <v>0</v>
      </c>
      <c r="I204" s="2" t="n">
        <f aca="false">G204+H204-F204</f>
        <v>0</v>
      </c>
    </row>
    <row r="205" customFormat="false" ht="15.75" hidden="false" customHeight="false" outlineLevel="0" collapsed="false">
      <c r="A205" s="0" t="n">
        <v>2025</v>
      </c>
      <c r="B205" s="0" t="s">
        <v>442</v>
      </c>
      <c r="C205" s="0" t="s">
        <v>443</v>
      </c>
      <c r="D205" s="1" t="s">
        <v>366</v>
      </c>
      <c r="E205" s="0" t="n">
        <v>254</v>
      </c>
      <c r="F205" s="0" t="n">
        <v>0</v>
      </c>
      <c r="G205" s="0" t="n">
        <v>0</v>
      </c>
      <c r="H205" s="0" t="n">
        <v>0</v>
      </c>
      <c r="I205" s="2" t="n">
        <f aca="false">G205+H205-F205</f>
        <v>0</v>
      </c>
    </row>
    <row r="206" customFormat="false" ht="15.75" hidden="false" customHeight="false" outlineLevel="0" collapsed="false">
      <c r="A206" s="0" t="n">
        <v>2025</v>
      </c>
      <c r="B206" s="0" t="s">
        <v>444</v>
      </c>
      <c r="C206" s="0" t="s">
        <v>445</v>
      </c>
      <c r="D206" s="1" t="s">
        <v>366</v>
      </c>
      <c r="E206" s="0" t="n">
        <v>254</v>
      </c>
      <c r="F206" s="0" t="n">
        <v>0</v>
      </c>
      <c r="G206" s="0" t="n">
        <v>0</v>
      </c>
      <c r="H206" s="0" t="n">
        <v>0</v>
      </c>
      <c r="I206" s="2" t="n">
        <f aca="false">G206+H206-F206</f>
        <v>0</v>
      </c>
    </row>
    <row r="207" customFormat="false" ht="15.75" hidden="false" customHeight="false" outlineLevel="0" collapsed="false">
      <c r="A207" s="0" t="n">
        <v>2025</v>
      </c>
      <c r="B207" s="0" t="s">
        <v>446</v>
      </c>
      <c r="C207" s="0" t="s">
        <v>447</v>
      </c>
      <c r="D207" s="1" t="s">
        <v>366</v>
      </c>
      <c r="E207" s="0" t="n">
        <v>254</v>
      </c>
      <c r="F207" s="0" t="n">
        <v>0</v>
      </c>
      <c r="G207" s="0" t="n">
        <v>0</v>
      </c>
      <c r="H207" s="3" t="n">
        <v>7200</v>
      </c>
      <c r="I207" s="2" t="n">
        <f aca="false">G207+H207-F207</f>
        <v>7200</v>
      </c>
    </row>
    <row r="208" customFormat="false" ht="15.75" hidden="false" customHeight="false" outlineLevel="0" collapsed="false">
      <c r="A208" s="0" t="n">
        <v>2025</v>
      </c>
      <c r="B208" s="0" t="s">
        <v>448</v>
      </c>
      <c r="C208" s="0" t="s">
        <v>449</v>
      </c>
      <c r="D208" s="1" t="s">
        <v>366</v>
      </c>
      <c r="E208" s="0" t="n">
        <v>254</v>
      </c>
      <c r="F208" s="0" t="n">
        <v>0</v>
      </c>
      <c r="G208" s="0" t="n">
        <v>0</v>
      </c>
      <c r="H208" s="3" t="n">
        <v>9000</v>
      </c>
      <c r="I208" s="2" t="n">
        <f aca="false">G208+H208-F208</f>
        <v>9000</v>
      </c>
    </row>
    <row r="209" customFormat="false" ht="15.75" hidden="false" customHeight="false" outlineLevel="0" collapsed="false">
      <c r="A209" s="0" t="n">
        <v>2025</v>
      </c>
      <c r="B209" s="0" t="s">
        <v>450</v>
      </c>
      <c r="C209" s="0" t="s">
        <v>451</v>
      </c>
      <c r="D209" s="1" t="s">
        <v>366</v>
      </c>
      <c r="E209" s="0" t="n">
        <v>254</v>
      </c>
      <c r="F209" s="0" t="n">
        <v>0</v>
      </c>
      <c r="G209" s="0" t="n">
        <v>0</v>
      </c>
      <c r="H209" s="0" t="n">
        <v>0</v>
      </c>
      <c r="I209" s="2" t="n">
        <f aca="false">G209+H209-F209</f>
        <v>0</v>
      </c>
    </row>
    <row r="210" customFormat="false" ht="15.75" hidden="false" customHeight="false" outlineLevel="0" collapsed="false">
      <c r="A210" s="0" t="n">
        <v>2025</v>
      </c>
      <c r="B210" s="0" t="s">
        <v>452</v>
      </c>
      <c r="C210" s="0" t="s">
        <v>453</v>
      </c>
      <c r="D210" s="1" t="s">
        <v>366</v>
      </c>
      <c r="E210" s="0" t="n">
        <v>254</v>
      </c>
      <c r="F210" s="0" t="n">
        <v>0</v>
      </c>
      <c r="G210" s="0" t="n">
        <v>0</v>
      </c>
      <c r="H210" s="0" t="n">
        <v>0</v>
      </c>
      <c r="I210" s="2" t="n">
        <f aca="false">G210+H210-F210</f>
        <v>0</v>
      </c>
    </row>
    <row r="211" customFormat="false" ht="15.75" hidden="false" customHeight="false" outlineLevel="0" collapsed="false">
      <c r="A211" s="0" t="n">
        <v>2025</v>
      </c>
      <c r="B211" s="0" t="s">
        <v>454</v>
      </c>
      <c r="C211" s="0" t="s">
        <v>455</v>
      </c>
      <c r="D211" s="1" t="s">
        <v>423</v>
      </c>
      <c r="E211" s="0" t="n">
        <v>254</v>
      </c>
      <c r="F211" s="0" t="n">
        <v>0</v>
      </c>
      <c r="G211" s="0" t="n">
        <v>0</v>
      </c>
      <c r="H211" s="0" t="n">
        <v>0</v>
      </c>
      <c r="I211" s="2" t="n">
        <f aca="false">G211+H211-F211</f>
        <v>0</v>
      </c>
    </row>
    <row r="212" customFormat="false" ht="15.75" hidden="false" customHeight="false" outlineLevel="0" collapsed="false">
      <c r="A212" s="0" t="n">
        <v>2025</v>
      </c>
      <c r="B212" s="0" t="s">
        <v>456</v>
      </c>
      <c r="C212" s="0" t="s">
        <v>457</v>
      </c>
      <c r="D212" s="1" t="s">
        <v>423</v>
      </c>
      <c r="E212" s="0" t="n">
        <v>254</v>
      </c>
      <c r="F212" s="0" t="n">
        <v>0</v>
      </c>
      <c r="G212" s="0" t="n">
        <v>0</v>
      </c>
      <c r="H212" s="0" t="n">
        <v>0</v>
      </c>
      <c r="I212" s="2" t="n">
        <f aca="false">G212+H212-F212</f>
        <v>0</v>
      </c>
    </row>
    <row r="213" customFormat="false" ht="15.75" hidden="false" customHeight="false" outlineLevel="0" collapsed="false">
      <c r="A213" s="0" t="n">
        <v>2025</v>
      </c>
      <c r="B213" s="0" t="s">
        <v>458</v>
      </c>
      <c r="C213" s="0" t="s">
        <v>459</v>
      </c>
      <c r="D213" s="1" t="s">
        <v>423</v>
      </c>
      <c r="E213" s="0" t="n">
        <v>254</v>
      </c>
      <c r="F213" s="0" t="n">
        <v>0</v>
      </c>
      <c r="G213" s="0" t="n">
        <v>0</v>
      </c>
      <c r="H213" s="3" t="n">
        <v>2000</v>
      </c>
      <c r="I213" s="2" t="n">
        <f aca="false">G213+H213-F213</f>
        <v>2000</v>
      </c>
    </row>
    <row r="214" customFormat="false" ht="15.75" hidden="false" customHeight="false" outlineLevel="0" collapsed="false">
      <c r="A214" s="0" t="n">
        <v>2025</v>
      </c>
      <c r="B214" s="0" t="s">
        <v>460</v>
      </c>
      <c r="C214" s="0" t="s">
        <v>461</v>
      </c>
      <c r="D214" s="1" t="s">
        <v>423</v>
      </c>
      <c r="E214" s="0" t="n">
        <v>254</v>
      </c>
      <c r="F214" s="0" t="n">
        <v>0</v>
      </c>
      <c r="G214" s="0" t="n">
        <v>0</v>
      </c>
      <c r="H214" s="0" t="n">
        <v>0</v>
      </c>
      <c r="I214" s="2" t="n">
        <f aca="false">G214+H214-F214</f>
        <v>0</v>
      </c>
    </row>
    <row r="215" customFormat="false" ht="15.75" hidden="false" customHeight="false" outlineLevel="0" collapsed="false">
      <c r="A215" s="0" t="n">
        <v>2025</v>
      </c>
      <c r="B215" s="0" t="s">
        <v>462</v>
      </c>
      <c r="C215" s="0" t="s">
        <v>463</v>
      </c>
      <c r="D215" s="1" t="s">
        <v>423</v>
      </c>
      <c r="E215" s="0" t="n">
        <v>254</v>
      </c>
      <c r="F215" s="0" t="n">
        <v>0</v>
      </c>
      <c r="G215" s="0" t="n">
        <v>0</v>
      </c>
      <c r="H215" s="0" t="n">
        <v>0</v>
      </c>
      <c r="I215" s="2" t="n">
        <f aca="false">G215+H215-F215</f>
        <v>0</v>
      </c>
    </row>
    <row r="216" customFormat="false" ht="15.75" hidden="false" customHeight="false" outlineLevel="0" collapsed="false">
      <c r="A216" s="0" t="n">
        <v>2025</v>
      </c>
      <c r="B216" s="0" t="s">
        <v>464</v>
      </c>
      <c r="C216" s="0" t="s">
        <v>465</v>
      </c>
      <c r="D216" s="1" t="s">
        <v>423</v>
      </c>
      <c r="E216" s="0" t="n">
        <v>254</v>
      </c>
      <c r="F216" s="0" t="n">
        <v>0</v>
      </c>
      <c r="G216" s="0" t="n">
        <v>0</v>
      </c>
      <c r="H216" s="0" t="n">
        <v>0</v>
      </c>
      <c r="I216" s="2" t="n">
        <f aca="false">G216+H216-F216</f>
        <v>0</v>
      </c>
    </row>
    <row r="217" customFormat="false" ht="15.75" hidden="false" customHeight="false" outlineLevel="0" collapsed="false">
      <c r="A217" s="0" t="n">
        <v>2025</v>
      </c>
      <c r="B217" s="0" t="s">
        <v>466</v>
      </c>
      <c r="C217" s="0" t="s">
        <v>467</v>
      </c>
      <c r="D217" s="1" t="s">
        <v>423</v>
      </c>
      <c r="E217" s="0" t="n">
        <v>254</v>
      </c>
      <c r="F217" s="0" t="n">
        <v>0</v>
      </c>
      <c r="G217" s="0" t="n">
        <v>0</v>
      </c>
      <c r="H217" s="0" t="n">
        <v>0</v>
      </c>
      <c r="I217" s="2" t="n">
        <f aca="false">G217+H217-F217</f>
        <v>0</v>
      </c>
    </row>
    <row r="218" customFormat="false" ht="15.75" hidden="false" customHeight="false" outlineLevel="0" collapsed="false">
      <c r="A218" s="0" t="n">
        <v>2025</v>
      </c>
      <c r="B218" s="0" t="s">
        <v>468</v>
      </c>
      <c r="C218" s="0" t="s">
        <v>469</v>
      </c>
      <c r="D218" s="1" t="s">
        <v>423</v>
      </c>
      <c r="E218" s="0" t="n">
        <v>254</v>
      </c>
      <c r="F218" s="0" t="n">
        <v>0</v>
      </c>
      <c r="G218" s="0" t="n">
        <v>0</v>
      </c>
      <c r="H218" s="0" t="n">
        <v>0</v>
      </c>
      <c r="I218" s="2" t="n">
        <f aca="false">G218+H218-F218</f>
        <v>0</v>
      </c>
    </row>
    <row r="219" customFormat="false" ht="15.75" hidden="false" customHeight="false" outlineLevel="0" collapsed="false">
      <c r="A219" s="0" t="n">
        <v>2025</v>
      </c>
      <c r="B219" s="0" t="s">
        <v>470</v>
      </c>
      <c r="C219" s="0" t="s">
        <v>471</v>
      </c>
      <c r="D219" s="1" t="s">
        <v>423</v>
      </c>
      <c r="E219" s="0" t="n">
        <v>254</v>
      </c>
      <c r="F219" s="0" t="n">
        <v>0</v>
      </c>
      <c r="G219" s="0" t="n">
        <v>0</v>
      </c>
      <c r="H219" s="0" t="n">
        <v>0</v>
      </c>
      <c r="I219" s="2" t="n">
        <f aca="false">G219+H219-F219</f>
        <v>0</v>
      </c>
    </row>
    <row r="220" customFormat="false" ht="15.75" hidden="false" customHeight="false" outlineLevel="0" collapsed="false">
      <c r="A220" s="0" t="n">
        <v>2025</v>
      </c>
      <c r="B220" s="0" t="s">
        <v>472</v>
      </c>
      <c r="C220" s="0" t="s">
        <v>473</v>
      </c>
      <c r="D220" s="1" t="s">
        <v>423</v>
      </c>
      <c r="E220" s="0" t="n">
        <v>254</v>
      </c>
      <c r="F220" s="0" t="n">
        <v>0</v>
      </c>
      <c r="G220" s="0" t="n">
        <v>0</v>
      </c>
      <c r="H220" s="0" t="n">
        <v>0</v>
      </c>
      <c r="I220" s="2" t="n">
        <f aca="false">G220+H220-F220</f>
        <v>0</v>
      </c>
    </row>
    <row r="221" customFormat="false" ht="15.75" hidden="false" customHeight="false" outlineLevel="0" collapsed="false">
      <c r="A221" s="0" t="n">
        <v>2025</v>
      </c>
      <c r="B221" s="0" t="s">
        <v>474</v>
      </c>
      <c r="C221" s="0" t="s">
        <v>475</v>
      </c>
      <c r="D221" s="1" t="s">
        <v>423</v>
      </c>
      <c r="E221" s="0" t="n">
        <v>254</v>
      </c>
      <c r="F221" s="0" t="n">
        <v>0</v>
      </c>
      <c r="G221" s="0" t="n">
        <v>0</v>
      </c>
      <c r="H221" s="3" t="n">
        <v>3000</v>
      </c>
      <c r="I221" s="2" t="n">
        <f aca="false">G221+H221-F221</f>
        <v>3000</v>
      </c>
    </row>
    <row r="222" customFormat="false" ht="15.75" hidden="false" customHeight="false" outlineLevel="0" collapsed="false">
      <c r="A222" s="0" t="n">
        <v>2025</v>
      </c>
      <c r="B222" s="0" t="s">
        <v>476</v>
      </c>
      <c r="C222" s="0" t="s">
        <v>477</v>
      </c>
      <c r="D222" s="1" t="s">
        <v>423</v>
      </c>
      <c r="E222" s="0" t="n">
        <v>254</v>
      </c>
      <c r="F222" s="0" t="n">
        <v>0</v>
      </c>
      <c r="G222" s="0" t="n">
        <v>0</v>
      </c>
      <c r="H222" s="3" t="n">
        <v>5500</v>
      </c>
      <c r="I222" s="2" t="n">
        <f aca="false">G222+H222-F222</f>
        <v>5500</v>
      </c>
    </row>
    <row r="223" customFormat="false" ht="15.75" hidden="false" customHeight="false" outlineLevel="0" collapsed="false">
      <c r="A223" s="0" t="n">
        <v>2025</v>
      </c>
      <c r="B223" s="0" t="s">
        <v>478</v>
      </c>
      <c r="C223" s="0" t="s">
        <v>479</v>
      </c>
      <c r="D223" s="1" t="s">
        <v>423</v>
      </c>
      <c r="E223" s="0" t="n">
        <v>254</v>
      </c>
      <c r="F223" s="0" t="n">
        <v>0</v>
      </c>
      <c r="G223" s="0" t="n">
        <v>0</v>
      </c>
      <c r="H223" s="0" t="n">
        <v>0</v>
      </c>
      <c r="I223" s="2" t="n">
        <f aca="false">G223+H223-F223</f>
        <v>0</v>
      </c>
    </row>
    <row r="224" customFormat="false" ht="15.75" hidden="false" customHeight="false" outlineLevel="0" collapsed="false">
      <c r="A224" s="0" t="n">
        <v>2025</v>
      </c>
      <c r="B224" s="0" t="s">
        <v>480</v>
      </c>
      <c r="C224" s="0" t="s">
        <v>481</v>
      </c>
      <c r="D224" s="1" t="s">
        <v>423</v>
      </c>
      <c r="E224" s="0" t="n">
        <v>254</v>
      </c>
      <c r="F224" s="0" t="n">
        <v>0</v>
      </c>
      <c r="G224" s="0" t="n">
        <v>0</v>
      </c>
      <c r="H224" s="0" t="n">
        <v>0</v>
      </c>
      <c r="I224" s="2" t="n">
        <f aca="false">G224+H224-F224</f>
        <v>0</v>
      </c>
    </row>
    <row r="225" customFormat="false" ht="15.75" hidden="false" customHeight="false" outlineLevel="0" collapsed="false">
      <c r="A225" s="0" t="n">
        <v>2025</v>
      </c>
      <c r="B225" s="0" t="s">
        <v>482</v>
      </c>
      <c r="C225" s="0" t="s">
        <v>483</v>
      </c>
      <c r="D225" s="1" t="s">
        <v>423</v>
      </c>
      <c r="E225" s="0" t="n">
        <v>254</v>
      </c>
      <c r="F225" s="0" t="n">
        <v>0</v>
      </c>
      <c r="G225" s="0" t="n">
        <v>0</v>
      </c>
      <c r="H225" s="0" t="n">
        <v>0</v>
      </c>
      <c r="I225" s="2" t="n">
        <f aca="false">G225+H225-F225</f>
        <v>0</v>
      </c>
    </row>
    <row r="226" customFormat="false" ht="15.75" hidden="false" customHeight="false" outlineLevel="0" collapsed="false">
      <c r="A226" s="0" t="n">
        <v>2025</v>
      </c>
      <c r="B226" s="0" t="s">
        <v>484</v>
      </c>
      <c r="C226" s="0" t="s">
        <v>485</v>
      </c>
      <c r="D226" s="1" t="s">
        <v>423</v>
      </c>
      <c r="E226" s="0" t="n">
        <v>254</v>
      </c>
      <c r="F226" s="0" t="n">
        <v>0</v>
      </c>
      <c r="G226" s="0" t="n">
        <v>0</v>
      </c>
      <c r="H226" s="0" t="n">
        <v>0</v>
      </c>
      <c r="I226" s="2" t="n">
        <f aca="false">G226+H226-F226</f>
        <v>0</v>
      </c>
    </row>
    <row r="227" customFormat="false" ht="15.75" hidden="false" customHeight="false" outlineLevel="0" collapsed="false">
      <c r="A227" s="0" t="n">
        <v>2025</v>
      </c>
      <c r="B227" s="0" t="s">
        <v>486</v>
      </c>
      <c r="C227" s="0" t="s">
        <v>487</v>
      </c>
      <c r="D227" s="1" t="s">
        <v>423</v>
      </c>
      <c r="E227" s="0" t="n">
        <v>254</v>
      </c>
      <c r="F227" s="0" t="n">
        <v>0</v>
      </c>
      <c r="G227" s="0" t="n">
        <v>0</v>
      </c>
      <c r="H227" s="0" t="n">
        <v>0</v>
      </c>
      <c r="I227" s="2" t="n">
        <f aca="false">G227+H227-F227</f>
        <v>0</v>
      </c>
    </row>
    <row r="228" customFormat="false" ht="15.75" hidden="false" customHeight="false" outlineLevel="0" collapsed="false">
      <c r="A228" s="0" t="n">
        <v>2025</v>
      </c>
      <c r="B228" s="0" t="s">
        <v>488</v>
      </c>
      <c r="C228" s="0" t="s">
        <v>489</v>
      </c>
      <c r="D228" s="1" t="s">
        <v>423</v>
      </c>
      <c r="E228" s="0" t="n">
        <v>254</v>
      </c>
      <c r="F228" s="0" t="n">
        <v>0</v>
      </c>
      <c r="G228" s="0" t="n">
        <v>0</v>
      </c>
      <c r="H228" s="0" t="n">
        <v>0</v>
      </c>
      <c r="I228" s="2" t="n">
        <f aca="false">G228+H228-F228</f>
        <v>0</v>
      </c>
    </row>
    <row r="229" customFormat="false" ht="15.75" hidden="false" customHeight="false" outlineLevel="0" collapsed="false">
      <c r="A229" s="0" t="n">
        <v>2025</v>
      </c>
      <c r="B229" s="0" t="s">
        <v>490</v>
      </c>
      <c r="C229" s="0" t="s">
        <v>491</v>
      </c>
      <c r="D229" s="1" t="s">
        <v>423</v>
      </c>
      <c r="E229" s="0" t="n">
        <v>254</v>
      </c>
      <c r="F229" s="0" t="n">
        <v>0</v>
      </c>
      <c r="G229" s="0" t="n">
        <v>0</v>
      </c>
      <c r="H229" s="0" t="n">
        <v>0</v>
      </c>
      <c r="I229" s="2" t="n">
        <f aca="false">G229+H229-F229</f>
        <v>0</v>
      </c>
    </row>
    <row r="230" customFormat="false" ht="15.75" hidden="false" customHeight="false" outlineLevel="0" collapsed="false">
      <c r="A230" s="0" t="n">
        <v>2025</v>
      </c>
      <c r="B230" s="0" t="s">
        <v>492</v>
      </c>
      <c r="C230" s="0" t="s">
        <v>493</v>
      </c>
      <c r="D230" s="1" t="s">
        <v>423</v>
      </c>
      <c r="E230" s="0" t="n">
        <v>254</v>
      </c>
      <c r="F230" s="0" t="n">
        <v>0</v>
      </c>
      <c r="G230" s="0" t="n">
        <v>0</v>
      </c>
      <c r="H230" s="0" t="n">
        <v>0</v>
      </c>
      <c r="I230" s="2" t="n">
        <f aca="false">G230+H230-F230</f>
        <v>0</v>
      </c>
    </row>
    <row r="231" customFormat="false" ht="15.75" hidden="false" customHeight="false" outlineLevel="0" collapsed="false">
      <c r="A231" s="0" t="n">
        <v>2025</v>
      </c>
      <c r="B231" s="0" t="s">
        <v>494</v>
      </c>
      <c r="C231" s="0" t="s">
        <v>495</v>
      </c>
      <c r="D231" s="1" t="s">
        <v>423</v>
      </c>
      <c r="E231" s="0" t="n">
        <v>254</v>
      </c>
      <c r="F231" s="0" t="n">
        <v>0</v>
      </c>
      <c r="G231" s="0" t="n">
        <v>0</v>
      </c>
      <c r="H231" s="0" t="n">
        <v>0</v>
      </c>
      <c r="I231" s="2" t="n">
        <f aca="false">G231+H231-F231</f>
        <v>0</v>
      </c>
    </row>
    <row r="232" customFormat="false" ht="15.75" hidden="false" customHeight="false" outlineLevel="0" collapsed="false">
      <c r="A232" s="0" t="n">
        <v>2025</v>
      </c>
      <c r="B232" s="0" t="s">
        <v>496</v>
      </c>
      <c r="C232" s="0" t="s">
        <v>497</v>
      </c>
      <c r="D232" s="1" t="s">
        <v>423</v>
      </c>
      <c r="E232" s="0" t="n">
        <v>254</v>
      </c>
      <c r="F232" s="0" t="n">
        <v>500</v>
      </c>
      <c r="G232" s="0" t="n">
        <v>0</v>
      </c>
      <c r="H232" s="0" t="n">
        <v>0</v>
      </c>
      <c r="I232" s="2" t="n">
        <f aca="false">G232+H232-F232</f>
        <v>-500</v>
      </c>
    </row>
    <row r="233" customFormat="false" ht="15.75" hidden="false" customHeight="false" outlineLevel="0" collapsed="false">
      <c r="A233" s="0" t="n">
        <v>2025</v>
      </c>
      <c r="B233" s="0" t="s">
        <v>498</v>
      </c>
      <c r="C233" s="0" t="s">
        <v>499</v>
      </c>
      <c r="D233" s="1" t="s">
        <v>423</v>
      </c>
      <c r="E233" s="0" t="n">
        <v>254</v>
      </c>
      <c r="F233" s="0" t="n">
        <v>0</v>
      </c>
      <c r="G233" s="0" t="n">
        <v>0</v>
      </c>
      <c r="H233" s="0" t="n">
        <v>0</v>
      </c>
      <c r="I233" s="2" t="n">
        <f aca="false">G233+H233-F233</f>
        <v>0</v>
      </c>
    </row>
    <row r="234" customFormat="false" ht="15.75" hidden="false" customHeight="false" outlineLevel="0" collapsed="false">
      <c r="A234" s="0" t="n">
        <v>2025</v>
      </c>
      <c r="B234" s="0" t="s">
        <v>500</v>
      </c>
      <c r="C234" s="0" t="s">
        <v>501</v>
      </c>
      <c r="D234" s="1" t="s">
        <v>423</v>
      </c>
      <c r="E234" s="0" t="n">
        <v>254</v>
      </c>
      <c r="F234" s="0" t="n">
        <v>0</v>
      </c>
      <c r="G234" s="0" t="n">
        <v>0</v>
      </c>
      <c r="H234" s="0" t="n">
        <v>0</v>
      </c>
      <c r="I234" s="2" t="n">
        <f aca="false">G234+H234-F234</f>
        <v>0</v>
      </c>
    </row>
    <row r="235" customFormat="false" ht="15.75" hidden="false" customHeight="false" outlineLevel="0" collapsed="false">
      <c r="A235" s="0" t="n">
        <v>2025</v>
      </c>
      <c r="B235" s="0" t="s">
        <v>502</v>
      </c>
      <c r="C235" s="0" t="s">
        <v>503</v>
      </c>
      <c r="D235" s="1" t="s">
        <v>423</v>
      </c>
      <c r="E235" s="0" t="n">
        <v>254</v>
      </c>
      <c r="F235" s="0" t="n">
        <v>0</v>
      </c>
      <c r="G235" s="0" t="n">
        <v>0</v>
      </c>
      <c r="H235" s="0" t="n">
        <v>0</v>
      </c>
      <c r="I235" s="2" t="n">
        <f aca="false">G235+H235-F235</f>
        <v>0</v>
      </c>
    </row>
    <row r="236" customFormat="false" ht="15.75" hidden="false" customHeight="false" outlineLevel="0" collapsed="false">
      <c r="A236" s="0" t="n">
        <v>2025</v>
      </c>
      <c r="B236" s="0" t="s">
        <v>504</v>
      </c>
      <c r="C236" s="0" t="s">
        <v>505</v>
      </c>
      <c r="D236" s="1" t="s">
        <v>423</v>
      </c>
      <c r="E236" s="0" t="n">
        <v>254</v>
      </c>
      <c r="F236" s="0" t="n">
        <v>0</v>
      </c>
      <c r="G236" s="0" t="n">
        <v>0</v>
      </c>
      <c r="H236" s="3" t="n">
        <v>8500</v>
      </c>
      <c r="I236" s="2" t="n">
        <f aca="false">G236+H236-F236</f>
        <v>8500</v>
      </c>
    </row>
    <row r="237" customFormat="false" ht="15.75" hidden="false" customHeight="false" outlineLevel="0" collapsed="false">
      <c r="A237" s="0" t="n">
        <v>2025</v>
      </c>
      <c r="B237" s="0" t="s">
        <v>506</v>
      </c>
      <c r="C237" s="0" t="s">
        <v>507</v>
      </c>
      <c r="D237" s="1" t="s">
        <v>423</v>
      </c>
      <c r="E237" s="0" t="n">
        <v>254</v>
      </c>
      <c r="F237" s="0" t="n">
        <v>0</v>
      </c>
      <c r="G237" s="0" t="n">
        <v>0</v>
      </c>
      <c r="H237" s="0" t="n">
        <v>0</v>
      </c>
      <c r="I237" s="2" t="n">
        <f aca="false">G237+H237-F237</f>
        <v>0</v>
      </c>
    </row>
    <row r="238" customFormat="false" ht="15.75" hidden="false" customHeight="false" outlineLevel="0" collapsed="false">
      <c r="A238" s="0" t="n">
        <v>2025</v>
      </c>
      <c r="B238" s="0" t="s">
        <v>508</v>
      </c>
      <c r="C238" s="0" t="s">
        <v>509</v>
      </c>
      <c r="D238" s="1" t="s">
        <v>423</v>
      </c>
      <c r="E238" s="0" t="n">
        <v>254</v>
      </c>
      <c r="F238" s="0" t="n">
        <v>0</v>
      </c>
      <c r="G238" s="0" t="n">
        <v>0</v>
      </c>
      <c r="H238" s="0" t="n">
        <v>0</v>
      </c>
      <c r="I238" s="2" t="n">
        <f aca="false">G238+H238-F238</f>
        <v>0</v>
      </c>
    </row>
    <row r="239" customFormat="false" ht="15.75" hidden="false" customHeight="false" outlineLevel="0" collapsed="false">
      <c r="A239" s="0" t="n">
        <v>2025</v>
      </c>
      <c r="B239" s="0" t="s">
        <v>510</v>
      </c>
      <c r="C239" s="0" t="s">
        <v>511</v>
      </c>
      <c r="D239" s="1" t="s">
        <v>423</v>
      </c>
      <c r="E239" s="0" t="n">
        <v>254</v>
      </c>
      <c r="F239" s="0" t="n">
        <v>0</v>
      </c>
      <c r="G239" s="0" t="n">
        <v>0</v>
      </c>
      <c r="H239" s="0" t="n">
        <v>0</v>
      </c>
      <c r="I239" s="2" t="n">
        <f aca="false">G239+H239-F239</f>
        <v>0</v>
      </c>
    </row>
    <row r="240" customFormat="false" ht="15.75" hidden="false" customHeight="false" outlineLevel="0" collapsed="false">
      <c r="A240" s="0" t="n">
        <v>2025</v>
      </c>
      <c r="B240" s="0" t="s">
        <v>512</v>
      </c>
      <c r="C240" s="0" t="s">
        <v>513</v>
      </c>
      <c r="D240" s="1" t="s">
        <v>514</v>
      </c>
      <c r="E240" s="0" t="n">
        <v>254</v>
      </c>
      <c r="F240" s="0" t="n">
        <v>0</v>
      </c>
      <c r="G240" s="0" t="n">
        <v>0</v>
      </c>
      <c r="H240" s="0" t="n">
        <v>0</v>
      </c>
      <c r="I240" s="2" t="n">
        <f aca="false">G240+H240-F240</f>
        <v>0</v>
      </c>
    </row>
    <row r="241" customFormat="false" ht="15.75" hidden="false" customHeight="false" outlineLevel="0" collapsed="false">
      <c r="A241" s="0" t="n">
        <v>2025</v>
      </c>
      <c r="B241" s="0" t="s">
        <v>515</v>
      </c>
      <c r="C241" s="0" t="s">
        <v>516</v>
      </c>
      <c r="D241" s="1" t="s">
        <v>514</v>
      </c>
      <c r="E241" s="0" t="n">
        <v>254</v>
      </c>
      <c r="F241" s="0" t="n">
        <v>0</v>
      </c>
      <c r="G241" s="0" t="n">
        <v>0</v>
      </c>
      <c r="H241" s="0" t="n">
        <v>850</v>
      </c>
      <c r="I241" s="2" t="n">
        <f aca="false">G241+H241-F241</f>
        <v>850</v>
      </c>
    </row>
    <row r="242" customFormat="false" ht="15.75" hidden="false" customHeight="false" outlineLevel="0" collapsed="false">
      <c r="A242" s="0" t="n">
        <v>2025</v>
      </c>
      <c r="B242" s="0" t="s">
        <v>517</v>
      </c>
      <c r="C242" s="0" t="s">
        <v>518</v>
      </c>
      <c r="D242" s="1" t="s">
        <v>514</v>
      </c>
      <c r="E242" s="0" t="n">
        <v>254</v>
      </c>
      <c r="F242" s="0" t="n">
        <v>0</v>
      </c>
      <c r="G242" s="0" t="n">
        <v>0</v>
      </c>
      <c r="H242" s="0" t="n">
        <v>0</v>
      </c>
      <c r="I242" s="2" t="n">
        <f aca="false">G242+H242-F242</f>
        <v>0</v>
      </c>
    </row>
    <row r="243" customFormat="false" ht="15.75" hidden="false" customHeight="false" outlineLevel="0" collapsed="false">
      <c r="A243" s="0" t="n">
        <v>2025</v>
      </c>
      <c r="B243" s="0" t="s">
        <v>519</v>
      </c>
      <c r="C243" s="0" t="s">
        <v>520</v>
      </c>
      <c r="D243" s="1" t="s">
        <v>514</v>
      </c>
      <c r="E243" s="0" t="n">
        <v>254</v>
      </c>
      <c r="F243" s="0" t="n">
        <v>0</v>
      </c>
      <c r="G243" s="0" t="n">
        <v>0</v>
      </c>
      <c r="H243" s="0" t="n">
        <v>0</v>
      </c>
      <c r="I243" s="2" t="n">
        <f aca="false">G243+H243-F243</f>
        <v>0</v>
      </c>
    </row>
    <row r="244" customFormat="false" ht="15.75" hidden="false" customHeight="false" outlineLevel="0" collapsed="false">
      <c r="A244" s="0" t="n">
        <v>2025</v>
      </c>
      <c r="B244" s="0" t="s">
        <v>521</v>
      </c>
      <c r="C244" s="0" t="s">
        <v>522</v>
      </c>
      <c r="D244" s="1" t="s">
        <v>514</v>
      </c>
      <c r="E244" s="0" t="n">
        <v>254</v>
      </c>
      <c r="F244" s="0" t="n">
        <v>0</v>
      </c>
      <c r="G244" s="0" t="n">
        <v>0</v>
      </c>
      <c r="H244" s="0" t="n">
        <v>0</v>
      </c>
      <c r="I244" s="2" t="n">
        <f aca="false">G244+H244-F244</f>
        <v>0</v>
      </c>
    </row>
    <row r="245" customFormat="false" ht="15.75" hidden="false" customHeight="false" outlineLevel="0" collapsed="false">
      <c r="A245" s="0" t="n">
        <v>2025</v>
      </c>
      <c r="B245" s="0" t="s">
        <v>523</v>
      </c>
      <c r="C245" s="0" t="s">
        <v>524</v>
      </c>
      <c r="D245" s="1" t="s">
        <v>514</v>
      </c>
      <c r="E245" s="0" t="n">
        <v>254</v>
      </c>
      <c r="F245" s="0" t="n">
        <v>0</v>
      </c>
      <c r="G245" s="0" t="n">
        <v>0</v>
      </c>
      <c r="H245" s="0" t="n">
        <v>0</v>
      </c>
      <c r="I245" s="2" t="n">
        <f aca="false">G245+H245-F245</f>
        <v>0</v>
      </c>
    </row>
    <row r="246" customFormat="false" ht="15.75" hidden="false" customHeight="false" outlineLevel="0" collapsed="false">
      <c r="A246" s="0" t="n">
        <v>2025</v>
      </c>
      <c r="B246" s="0" t="s">
        <v>525</v>
      </c>
      <c r="C246" s="0" t="s">
        <v>526</v>
      </c>
      <c r="D246" s="1" t="s">
        <v>514</v>
      </c>
      <c r="E246" s="0" t="s">
        <v>527</v>
      </c>
      <c r="F246" s="0" t="n">
        <v>0</v>
      </c>
      <c r="G246" s="0" t="n">
        <v>0</v>
      </c>
      <c r="H246" s="0" t="n">
        <v>0</v>
      </c>
      <c r="I246" s="2" t="n">
        <f aca="false">G246+H246-F246</f>
        <v>0</v>
      </c>
    </row>
    <row r="247" customFormat="false" ht="15.75" hidden="false" customHeight="false" outlineLevel="0" collapsed="false">
      <c r="A247" s="0" t="n">
        <v>2025</v>
      </c>
      <c r="B247" s="0" t="s">
        <v>528</v>
      </c>
      <c r="C247" s="0" t="s">
        <v>529</v>
      </c>
      <c r="D247" s="1" t="s">
        <v>514</v>
      </c>
      <c r="E247" s="0" t="n">
        <v>254</v>
      </c>
      <c r="F247" s="0" t="n">
        <v>0</v>
      </c>
      <c r="G247" s="0" t="n">
        <v>0</v>
      </c>
      <c r="H247" s="0" t="n">
        <v>0</v>
      </c>
      <c r="I247" s="2" t="n">
        <f aca="false">G247+H247-F247</f>
        <v>0</v>
      </c>
    </row>
    <row r="248" customFormat="false" ht="15.75" hidden="false" customHeight="false" outlineLevel="0" collapsed="false">
      <c r="A248" s="0" t="n">
        <v>2025</v>
      </c>
      <c r="B248" s="0" t="s">
        <v>530</v>
      </c>
      <c r="C248" s="0" t="s">
        <v>531</v>
      </c>
      <c r="D248" s="1" t="s">
        <v>514</v>
      </c>
      <c r="E248" s="0" t="n">
        <v>254</v>
      </c>
      <c r="F248" s="0" t="n">
        <v>0</v>
      </c>
      <c r="G248" s="0" t="n">
        <v>0</v>
      </c>
      <c r="H248" s="0" t="n">
        <v>0</v>
      </c>
      <c r="I248" s="2" t="n">
        <f aca="false">G248+H248-F248</f>
        <v>0</v>
      </c>
    </row>
    <row r="249" customFormat="false" ht="15.75" hidden="false" customHeight="false" outlineLevel="0" collapsed="false">
      <c r="A249" s="0" t="n">
        <v>2025</v>
      </c>
      <c r="B249" s="0" t="s">
        <v>532</v>
      </c>
      <c r="C249" s="0" t="s">
        <v>533</v>
      </c>
      <c r="D249" s="1" t="s">
        <v>514</v>
      </c>
      <c r="E249" s="0" t="n">
        <v>254</v>
      </c>
      <c r="F249" s="0" t="n">
        <v>0</v>
      </c>
      <c r="G249" s="0" t="n">
        <v>0</v>
      </c>
      <c r="H249" s="0" t="n">
        <v>0</v>
      </c>
      <c r="I249" s="2" t="n">
        <f aca="false">G249+H249-F249</f>
        <v>0</v>
      </c>
    </row>
    <row r="250" customFormat="false" ht="15.75" hidden="false" customHeight="false" outlineLevel="0" collapsed="false">
      <c r="A250" s="0" t="n">
        <v>2025</v>
      </c>
      <c r="B250" s="0" t="s">
        <v>534</v>
      </c>
      <c r="C250" s="0" t="s">
        <v>535</v>
      </c>
      <c r="D250" s="1" t="s">
        <v>514</v>
      </c>
      <c r="E250" s="0" t="n">
        <v>254</v>
      </c>
      <c r="F250" s="0" t="n">
        <v>0</v>
      </c>
      <c r="G250" s="0" t="n">
        <v>0</v>
      </c>
      <c r="H250" s="0" t="n">
        <v>500</v>
      </c>
      <c r="I250" s="2" t="n">
        <f aca="false">G250+H250-F250</f>
        <v>500</v>
      </c>
    </row>
    <row r="251" customFormat="false" ht="15.75" hidden="false" customHeight="false" outlineLevel="0" collapsed="false">
      <c r="A251" s="0" t="n">
        <v>2025</v>
      </c>
      <c r="B251" s="0" t="s">
        <v>536</v>
      </c>
      <c r="C251" s="0" t="s">
        <v>537</v>
      </c>
      <c r="D251" s="1" t="s">
        <v>514</v>
      </c>
      <c r="E251" s="0" t="n">
        <v>254</v>
      </c>
      <c r="F251" s="0" t="n">
        <v>0</v>
      </c>
      <c r="G251" s="0" t="n">
        <v>0</v>
      </c>
      <c r="H251" s="0" t="n">
        <v>0</v>
      </c>
      <c r="I251" s="2" t="n">
        <f aca="false">G251+H251-F251</f>
        <v>0</v>
      </c>
    </row>
    <row r="252" customFormat="false" ht="15.75" hidden="false" customHeight="false" outlineLevel="0" collapsed="false">
      <c r="A252" s="0" t="n">
        <v>2025</v>
      </c>
      <c r="B252" s="0" t="s">
        <v>538</v>
      </c>
      <c r="C252" s="0" t="s">
        <v>539</v>
      </c>
      <c r="D252" s="1" t="s">
        <v>514</v>
      </c>
      <c r="E252" s="0" t="n">
        <v>254</v>
      </c>
      <c r="F252" s="0" t="n">
        <v>0</v>
      </c>
      <c r="G252" s="0" t="n">
        <v>0</v>
      </c>
      <c r="H252" s="0" t="n">
        <v>0</v>
      </c>
      <c r="I252" s="2" t="n">
        <f aca="false">G252+H252-F252</f>
        <v>0</v>
      </c>
    </row>
    <row r="253" customFormat="false" ht="15.75" hidden="false" customHeight="false" outlineLevel="0" collapsed="false">
      <c r="A253" s="0" t="n">
        <v>2025</v>
      </c>
      <c r="B253" s="0" t="s">
        <v>540</v>
      </c>
      <c r="C253" s="0" t="s">
        <v>541</v>
      </c>
      <c r="D253" s="1" t="s">
        <v>514</v>
      </c>
      <c r="E253" s="0" t="n">
        <v>254</v>
      </c>
      <c r="F253" s="0" t="n">
        <v>0</v>
      </c>
      <c r="G253" s="0" t="n">
        <v>0</v>
      </c>
      <c r="H253" s="0" t="n">
        <v>0</v>
      </c>
      <c r="I253" s="2" t="n">
        <f aca="false">G253+H253-F253</f>
        <v>0</v>
      </c>
    </row>
    <row r="254" customFormat="false" ht="15.75" hidden="false" customHeight="false" outlineLevel="0" collapsed="false">
      <c r="A254" s="0" t="n">
        <v>2025</v>
      </c>
      <c r="B254" s="0" t="s">
        <v>542</v>
      </c>
      <c r="C254" s="0" t="s">
        <v>543</v>
      </c>
      <c r="D254" s="1" t="s">
        <v>514</v>
      </c>
      <c r="E254" s="0" t="n">
        <v>254</v>
      </c>
      <c r="F254" s="0" t="n">
        <v>0</v>
      </c>
      <c r="G254" s="0" t="n">
        <v>0</v>
      </c>
      <c r="H254" s="0" t="n">
        <v>0</v>
      </c>
      <c r="I254" s="2" t="n">
        <f aca="false">G254+H254-F254</f>
        <v>0</v>
      </c>
    </row>
    <row r="255" customFormat="false" ht="15.75" hidden="false" customHeight="false" outlineLevel="0" collapsed="false">
      <c r="A255" s="0" t="n">
        <v>2025</v>
      </c>
      <c r="B255" s="0" t="s">
        <v>544</v>
      </c>
      <c r="C255" s="0" t="s">
        <v>545</v>
      </c>
      <c r="D255" s="1" t="s">
        <v>514</v>
      </c>
      <c r="E255" s="0" t="n">
        <v>254</v>
      </c>
      <c r="F255" s="0" t="n">
        <v>0</v>
      </c>
      <c r="G255" s="0" t="n">
        <v>0</v>
      </c>
      <c r="H255" s="0" t="n">
        <v>0</v>
      </c>
      <c r="I255" s="2" t="n">
        <f aca="false">G255+H255-F255</f>
        <v>0</v>
      </c>
    </row>
    <row r="256" customFormat="false" ht="15.75" hidden="false" customHeight="false" outlineLevel="0" collapsed="false">
      <c r="A256" s="0" t="n">
        <v>2025</v>
      </c>
      <c r="B256" s="0" t="s">
        <v>546</v>
      </c>
      <c r="C256" s="0" t="s">
        <v>547</v>
      </c>
      <c r="D256" s="1" t="s">
        <v>514</v>
      </c>
      <c r="E256" s="0" t="n">
        <v>254</v>
      </c>
      <c r="F256" s="0" t="n">
        <v>0</v>
      </c>
      <c r="G256" s="0" t="n">
        <v>0</v>
      </c>
      <c r="H256" s="3" t="n">
        <v>9500</v>
      </c>
      <c r="I256" s="2" t="n">
        <f aca="false">G256+H256-F256</f>
        <v>9500</v>
      </c>
    </row>
    <row r="257" customFormat="false" ht="15.75" hidden="false" customHeight="false" outlineLevel="0" collapsed="false">
      <c r="A257" s="0" t="n">
        <v>2025</v>
      </c>
      <c r="B257" s="0" t="s">
        <v>548</v>
      </c>
      <c r="C257" s="0" t="s">
        <v>549</v>
      </c>
      <c r="D257" s="1" t="s">
        <v>514</v>
      </c>
      <c r="E257" s="0" t="n">
        <v>254</v>
      </c>
      <c r="F257" s="0" t="n">
        <v>0</v>
      </c>
      <c r="G257" s="0" t="n">
        <v>0</v>
      </c>
      <c r="H257" s="3" t="n">
        <v>4000</v>
      </c>
      <c r="I257" s="2" t="n">
        <f aca="false">G257+H257-F257</f>
        <v>4000</v>
      </c>
    </row>
    <row r="258" customFormat="false" ht="15.75" hidden="false" customHeight="false" outlineLevel="0" collapsed="false">
      <c r="A258" s="0" t="n">
        <v>2025</v>
      </c>
      <c r="B258" s="0" t="s">
        <v>550</v>
      </c>
      <c r="C258" s="0" t="s">
        <v>551</v>
      </c>
      <c r="D258" s="1" t="s">
        <v>514</v>
      </c>
      <c r="E258" s="0" t="n">
        <v>254</v>
      </c>
      <c r="F258" s="0" t="n">
        <v>0</v>
      </c>
      <c r="G258" s="0" t="n">
        <v>0</v>
      </c>
      <c r="H258" s="0" t="n">
        <v>0</v>
      </c>
      <c r="I258" s="2" t="n">
        <f aca="false">G258+H258-F258</f>
        <v>0</v>
      </c>
    </row>
    <row r="259" customFormat="false" ht="15.75" hidden="false" customHeight="false" outlineLevel="0" collapsed="false">
      <c r="A259" s="0" t="n">
        <v>2025</v>
      </c>
      <c r="B259" s="0" t="s">
        <v>552</v>
      </c>
      <c r="C259" s="0" t="s">
        <v>553</v>
      </c>
      <c r="D259" s="1" t="s">
        <v>514</v>
      </c>
      <c r="E259" s="0" t="n">
        <v>254</v>
      </c>
      <c r="F259" s="0" t="n">
        <v>0</v>
      </c>
      <c r="G259" s="0" t="n">
        <v>0</v>
      </c>
      <c r="H259" s="0" t="n">
        <v>0</v>
      </c>
      <c r="I259" s="2" t="n">
        <f aca="false">G259+H259-F259</f>
        <v>0</v>
      </c>
    </row>
    <row r="260" customFormat="false" ht="15.75" hidden="false" customHeight="false" outlineLevel="0" collapsed="false">
      <c r="A260" s="0" t="n">
        <v>2025</v>
      </c>
      <c r="B260" s="0" t="s">
        <v>554</v>
      </c>
      <c r="C260" s="0" t="s">
        <v>555</v>
      </c>
      <c r="D260" s="1" t="s">
        <v>514</v>
      </c>
      <c r="E260" s="0" t="n">
        <v>254</v>
      </c>
      <c r="F260" s="0" t="n">
        <v>0</v>
      </c>
      <c r="G260" s="0" t="n">
        <v>0</v>
      </c>
      <c r="H260" s="0" t="n">
        <v>0</v>
      </c>
      <c r="I260" s="2" t="n">
        <f aca="false">G260+H260-F260</f>
        <v>0</v>
      </c>
    </row>
    <row r="261" customFormat="false" ht="15.75" hidden="false" customHeight="false" outlineLevel="0" collapsed="false">
      <c r="A261" s="0" t="n">
        <v>2025</v>
      </c>
      <c r="B261" s="0" t="s">
        <v>556</v>
      </c>
      <c r="C261" s="0" t="s">
        <v>557</v>
      </c>
      <c r="D261" s="1" t="s">
        <v>514</v>
      </c>
      <c r="E261" s="0" t="n">
        <v>254</v>
      </c>
      <c r="F261" s="0" t="n">
        <v>0</v>
      </c>
      <c r="G261" s="0" t="n">
        <v>0</v>
      </c>
      <c r="H261" s="0" t="n">
        <v>0</v>
      </c>
      <c r="I261" s="2" t="n">
        <f aca="false">G261+H261-F261</f>
        <v>0</v>
      </c>
    </row>
    <row r="262" customFormat="false" ht="15.75" hidden="false" customHeight="false" outlineLevel="0" collapsed="false">
      <c r="A262" s="0" t="n">
        <v>2025</v>
      </c>
      <c r="B262" s="0" t="s">
        <v>558</v>
      </c>
      <c r="C262" s="0" t="s">
        <v>559</v>
      </c>
      <c r="D262" s="1" t="s">
        <v>514</v>
      </c>
      <c r="E262" s="0" t="n">
        <v>254</v>
      </c>
      <c r="F262" s="0" t="n">
        <v>0</v>
      </c>
      <c r="G262" s="0" t="n">
        <v>0</v>
      </c>
      <c r="H262" s="3" t="n">
        <v>1500</v>
      </c>
      <c r="I262" s="2" t="n">
        <f aca="false">G262+H262-F262</f>
        <v>1500</v>
      </c>
    </row>
    <row r="263" customFormat="false" ht="15.75" hidden="false" customHeight="false" outlineLevel="0" collapsed="false">
      <c r="A263" s="0" t="n">
        <v>2025</v>
      </c>
      <c r="B263" s="0" t="s">
        <v>560</v>
      </c>
      <c r="C263" s="0" t="s">
        <v>561</v>
      </c>
      <c r="D263" s="1" t="s">
        <v>514</v>
      </c>
      <c r="E263" s="0" t="n">
        <v>254</v>
      </c>
      <c r="F263" s="0" t="n">
        <v>0</v>
      </c>
      <c r="G263" s="0" t="n">
        <v>0</v>
      </c>
      <c r="H263" s="0" t="n">
        <v>0</v>
      </c>
      <c r="I263" s="2" t="n">
        <f aca="false">G263+H263-F263</f>
        <v>0</v>
      </c>
    </row>
    <row r="264" customFormat="false" ht="15.75" hidden="false" customHeight="false" outlineLevel="0" collapsed="false">
      <c r="A264" s="0" t="n">
        <v>2025</v>
      </c>
      <c r="B264" s="0" t="s">
        <v>562</v>
      </c>
      <c r="C264" s="0" t="s">
        <v>563</v>
      </c>
      <c r="D264" s="1" t="s">
        <v>514</v>
      </c>
      <c r="F264" s="0" t="n">
        <v>0</v>
      </c>
      <c r="G264" s="0" t="n">
        <v>0</v>
      </c>
      <c r="H264" s="0" t="n">
        <v>0</v>
      </c>
      <c r="I264" s="2" t="n">
        <f aca="false">G264+H264-F264</f>
        <v>0</v>
      </c>
    </row>
    <row r="265" customFormat="false" ht="15.75" hidden="false" customHeight="false" outlineLevel="0" collapsed="false">
      <c r="A265" s="0" t="n">
        <v>2025</v>
      </c>
      <c r="B265" s="0" t="s">
        <v>564</v>
      </c>
      <c r="C265" s="0" t="s">
        <v>565</v>
      </c>
      <c r="D265" s="1" t="s">
        <v>423</v>
      </c>
      <c r="F265" s="0" t="n">
        <v>0</v>
      </c>
      <c r="G265" s="0" t="n">
        <v>0</v>
      </c>
      <c r="H265" s="0" t="n">
        <v>0</v>
      </c>
      <c r="I265" s="2" t="n">
        <f aca="false">G265+H265-F265</f>
        <v>0</v>
      </c>
    </row>
    <row r="266" customFormat="false" ht="15.75" hidden="false" customHeight="false" outlineLevel="0" collapsed="false">
      <c r="A266" s="0" t="n">
        <v>2025</v>
      </c>
      <c r="B266" s="0" t="s">
        <v>566</v>
      </c>
      <c r="C266" s="0" t="s">
        <v>567</v>
      </c>
      <c r="D266" s="1" t="s">
        <v>514</v>
      </c>
      <c r="F266" s="0" t="n">
        <v>0</v>
      </c>
      <c r="G266" s="0" t="n">
        <v>0</v>
      </c>
      <c r="H266" s="0" t="n">
        <v>0</v>
      </c>
      <c r="I266" s="2" t="n">
        <f aca="false">G266+H266-F266</f>
        <v>0</v>
      </c>
    </row>
    <row r="267" customFormat="false" ht="15.75" hidden="false" customHeight="false" outlineLevel="0" collapsed="false">
      <c r="A267" s="0" t="n">
        <v>2025</v>
      </c>
      <c r="B267" s="0" t="s">
        <v>568</v>
      </c>
      <c r="C267" s="0" t="s">
        <v>569</v>
      </c>
      <c r="D267" s="1" t="s">
        <v>161</v>
      </c>
      <c r="E267" s="0" t="s">
        <v>570</v>
      </c>
      <c r="F267" s="0" t="n">
        <v>0</v>
      </c>
      <c r="G267" s="0" t="n">
        <v>0</v>
      </c>
      <c r="H267" s="0" t="n">
        <v>0</v>
      </c>
      <c r="I267" s="2" t="n">
        <f aca="false">G267+H267-F267</f>
        <v>0</v>
      </c>
    </row>
    <row r="268" customFormat="false" ht="15.75" hidden="false" customHeight="false" outlineLevel="0" collapsed="false">
      <c r="A268" s="0" t="n">
        <v>2025</v>
      </c>
      <c r="B268" s="0" t="s">
        <v>571</v>
      </c>
      <c r="C268" s="0" t="s">
        <v>572</v>
      </c>
      <c r="D268" s="1" t="s">
        <v>514</v>
      </c>
      <c r="E268" s="0" t="s">
        <v>573</v>
      </c>
      <c r="F268" s="0" t="n">
        <v>0</v>
      </c>
      <c r="G268" s="0" t="n">
        <v>0</v>
      </c>
      <c r="H268" s="3" t="n">
        <v>1500</v>
      </c>
      <c r="I268" s="2" t="n">
        <f aca="false">G268+H268-F268</f>
        <v>1500</v>
      </c>
    </row>
    <row r="269" customFormat="false" ht="15.75" hidden="false" customHeight="false" outlineLevel="0" collapsed="false">
      <c r="A269" s="0" t="n">
        <v>2025</v>
      </c>
      <c r="B269" s="0" t="s">
        <v>574</v>
      </c>
      <c r="C269" s="0" t="s">
        <v>575</v>
      </c>
      <c r="D269" s="1" t="s">
        <v>576</v>
      </c>
      <c r="E269" s="0" t="s">
        <v>577</v>
      </c>
      <c r="F269" s="0" t="n">
        <v>0</v>
      </c>
      <c r="G269" s="0" t="n">
        <v>0</v>
      </c>
      <c r="H269" s="0" t="n">
        <v>0</v>
      </c>
      <c r="I269" s="2" t="n">
        <f aca="false">G269+H269-F269</f>
        <v>0</v>
      </c>
    </row>
    <row r="270" customFormat="false" ht="15.75" hidden="false" customHeight="false" outlineLevel="0" collapsed="false">
      <c r="A270" s="0" t="n">
        <v>2025</v>
      </c>
      <c r="B270" s="0" t="s">
        <v>578</v>
      </c>
      <c r="C270" s="0" t="s">
        <v>579</v>
      </c>
      <c r="D270" s="1" t="s">
        <v>514</v>
      </c>
      <c r="E270" s="0" t="s">
        <v>580</v>
      </c>
      <c r="F270" s="0" t="n">
        <v>0</v>
      </c>
      <c r="G270" s="0" t="n">
        <v>0</v>
      </c>
      <c r="H270" s="0" t="n">
        <v>0</v>
      </c>
      <c r="I270" s="2" t="n">
        <f aca="false">G270+H270-F270</f>
        <v>0</v>
      </c>
    </row>
    <row r="271" customFormat="false" ht="15.75" hidden="false" customHeight="false" outlineLevel="0" collapsed="false">
      <c r="A271" s="0" t="n">
        <v>2025</v>
      </c>
      <c r="B271" s="0" t="s">
        <v>581</v>
      </c>
      <c r="C271" s="0" t="s">
        <v>582</v>
      </c>
      <c r="D271" s="1" t="s">
        <v>423</v>
      </c>
      <c r="E271" s="0" t="s">
        <v>580</v>
      </c>
      <c r="F271" s="0" t="n">
        <v>0</v>
      </c>
      <c r="G271" s="0" t="n">
        <v>0</v>
      </c>
      <c r="H271" s="0" t="n">
        <v>0</v>
      </c>
      <c r="I271" s="2" t="n">
        <f aca="false">G271+H271-F271</f>
        <v>0</v>
      </c>
    </row>
    <row r="272" customFormat="false" ht="15.75" hidden="false" customHeight="false" outlineLevel="0" collapsed="false">
      <c r="A272" s="0" t="n">
        <v>2025</v>
      </c>
      <c r="B272" s="0" t="s">
        <v>583</v>
      </c>
      <c r="C272" s="0" t="s">
        <v>584</v>
      </c>
      <c r="D272" s="1" t="s">
        <v>576</v>
      </c>
      <c r="E272" s="0" t="s">
        <v>585</v>
      </c>
      <c r="F272" s="0" t="n">
        <v>0</v>
      </c>
      <c r="G272" s="0" t="n">
        <v>0</v>
      </c>
      <c r="H272" s="0" t="n">
        <v>0</v>
      </c>
      <c r="I272" s="2" t="n">
        <f aca="false">G272+H272-F272</f>
        <v>0</v>
      </c>
    </row>
    <row r="273" customFormat="false" ht="15.75" hidden="false" customHeight="false" outlineLevel="0" collapsed="false">
      <c r="A273" s="0" t="n">
        <v>2025</v>
      </c>
      <c r="B273" s="0" t="s">
        <v>586</v>
      </c>
      <c r="C273" s="0" t="s">
        <v>587</v>
      </c>
      <c r="D273" s="1" t="s">
        <v>366</v>
      </c>
      <c r="E273" s="0" t="s">
        <v>588</v>
      </c>
      <c r="F273" s="0" t="n">
        <v>0</v>
      </c>
      <c r="G273" s="0" t="n">
        <v>0</v>
      </c>
      <c r="H273" s="0" t="n">
        <v>800</v>
      </c>
      <c r="I273" s="2" t="n">
        <f aca="false">G273+H273-F273</f>
        <v>800</v>
      </c>
    </row>
    <row r="274" customFormat="false" ht="15.75" hidden="false" customHeight="false" outlineLevel="0" collapsed="false">
      <c r="A274" s="0" t="n">
        <v>2025</v>
      </c>
      <c r="B274" s="0" t="s">
        <v>589</v>
      </c>
      <c r="C274" s="0" t="s">
        <v>590</v>
      </c>
      <c r="D274" s="1" t="s">
        <v>576</v>
      </c>
      <c r="E274" s="0" t="s">
        <v>591</v>
      </c>
      <c r="F274" s="0" t="n">
        <v>0</v>
      </c>
      <c r="G274" s="0" t="n">
        <v>0</v>
      </c>
      <c r="H274" s="3" t="n">
        <v>2000</v>
      </c>
      <c r="I274" s="2" t="n">
        <f aca="false">G274+H274-F274</f>
        <v>2000</v>
      </c>
    </row>
    <row r="275" customFormat="false" ht="15.75" hidden="false" customHeight="false" outlineLevel="0" collapsed="false">
      <c r="A275" s="0" t="n">
        <v>2025</v>
      </c>
      <c r="B275" s="0" t="s">
        <v>592</v>
      </c>
      <c r="C275" s="0" t="s">
        <v>593</v>
      </c>
      <c r="D275" s="1" t="s">
        <v>11</v>
      </c>
      <c r="E275" s="0" t="s">
        <v>594</v>
      </c>
      <c r="F275" s="0" t="n">
        <v>0</v>
      </c>
      <c r="G275" s="0" t="n">
        <v>0</v>
      </c>
      <c r="H275" s="3" t="n">
        <v>23900</v>
      </c>
      <c r="I275" s="2" t="n">
        <f aca="false">G275+H275-F275</f>
        <v>23900</v>
      </c>
    </row>
    <row r="276" customFormat="false" ht="15.75" hidden="false" customHeight="false" outlineLevel="0" collapsed="false">
      <c r="A276" s="0" t="n">
        <v>2025</v>
      </c>
      <c r="B276" s="0" t="s">
        <v>595</v>
      </c>
      <c r="C276" s="0" t="s">
        <v>596</v>
      </c>
      <c r="D276" s="1" t="s">
        <v>11</v>
      </c>
      <c r="E276" s="0" t="s">
        <v>597</v>
      </c>
      <c r="F276" s="0" t="n">
        <v>0</v>
      </c>
      <c r="G276" s="0" t="n">
        <v>0</v>
      </c>
      <c r="H276" s="0" t="n">
        <v>0</v>
      </c>
      <c r="I276" s="2" t="n">
        <f aca="false">G276+H276-F276</f>
        <v>0</v>
      </c>
    </row>
    <row r="277" customFormat="false" ht="15.75" hidden="false" customHeight="false" outlineLevel="0" collapsed="false">
      <c r="A277" s="0" t="n">
        <v>2025</v>
      </c>
      <c r="B277" s="0" t="s">
        <v>598</v>
      </c>
      <c r="C277" s="0" t="s">
        <v>599</v>
      </c>
      <c r="D277" s="1" t="s">
        <v>11</v>
      </c>
      <c r="E277" s="0" t="s">
        <v>600</v>
      </c>
      <c r="F277" s="0" t="n">
        <v>0</v>
      </c>
      <c r="G277" s="0" t="n">
        <v>0</v>
      </c>
      <c r="H277" s="0" t="n">
        <v>0</v>
      </c>
      <c r="I277" s="2" t="n">
        <f aca="false">G277+H277-F277</f>
        <v>0</v>
      </c>
    </row>
    <row r="278" customFormat="false" ht="15.75" hidden="false" customHeight="false" outlineLevel="0" collapsed="false">
      <c r="A278" s="0" t="n">
        <v>2025</v>
      </c>
      <c r="B278" s="0" t="s">
        <v>601</v>
      </c>
      <c r="C278" s="0" t="s">
        <v>602</v>
      </c>
      <c r="D278" s="1" t="s">
        <v>11</v>
      </c>
      <c r="E278" s="0" t="n">
        <v>721675774</v>
      </c>
      <c r="F278" s="0" t="n">
        <v>0</v>
      </c>
      <c r="G278" s="0" t="n">
        <v>0</v>
      </c>
      <c r="H278" s="3" t="n">
        <v>3500</v>
      </c>
      <c r="I278" s="2" t="n">
        <f aca="false">G278+H278-F278</f>
        <v>3500</v>
      </c>
    </row>
    <row r="279" customFormat="false" ht="15.75" hidden="false" customHeight="false" outlineLevel="0" collapsed="false">
      <c r="A279" s="0" t="n">
        <v>2025</v>
      </c>
      <c r="B279" s="0" t="s">
        <v>603</v>
      </c>
      <c r="C279" s="0" t="s">
        <v>604</v>
      </c>
      <c r="D279" s="1" t="s">
        <v>11</v>
      </c>
      <c r="E279" s="0" t="s">
        <v>605</v>
      </c>
      <c r="F279" s="0" t="n">
        <v>0</v>
      </c>
      <c r="G279" s="0" t="n">
        <v>0</v>
      </c>
      <c r="H279" s="0" t="n">
        <v>300</v>
      </c>
      <c r="I279" s="2" t="n">
        <f aca="false">G279+H279-F279</f>
        <v>300</v>
      </c>
    </row>
    <row r="280" customFormat="false" ht="15.75" hidden="false" customHeight="false" outlineLevel="0" collapsed="false">
      <c r="A280" s="0" t="n">
        <v>2025</v>
      </c>
      <c r="B280" s="0" t="s">
        <v>606</v>
      </c>
      <c r="C280" s="0" t="s">
        <v>607</v>
      </c>
      <c r="D280" s="1" t="s">
        <v>11</v>
      </c>
      <c r="E280" s="0" t="s">
        <v>608</v>
      </c>
      <c r="F280" s="0" t="n">
        <v>0</v>
      </c>
      <c r="G280" s="0" t="n">
        <v>0</v>
      </c>
      <c r="H280" s="0" t="n">
        <v>0</v>
      </c>
      <c r="I280" s="2" t="n">
        <f aca="false">G280+H280-F280</f>
        <v>0</v>
      </c>
    </row>
    <row r="281" customFormat="false" ht="15.75" hidden="false" customHeight="false" outlineLevel="0" collapsed="false">
      <c r="A281" s="0" t="n">
        <v>2025</v>
      </c>
      <c r="B281" s="0" t="s">
        <v>609</v>
      </c>
      <c r="C281" s="0" t="s">
        <v>610</v>
      </c>
      <c r="D281" s="1" t="s">
        <v>423</v>
      </c>
      <c r="E281" s="0" t="s">
        <v>611</v>
      </c>
      <c r="F281" s="0" t="n">
        <v>0</v>
      </c>
      <c r="G281" s="0" t="n">
        <v>0</v>
      </c>
      <c r="H281" s="0" t="n">
        <v>0</v>
      </c>
      <c r="I281" s="2" t="n">
        <f aca="false">G281+H281-F281</f>
        <v>0</v>
      </c>
    </row>
    <row r="282" customFormat="false" ht="15.75" hidden="false" customHeight="false" outlineLevel="0" collapsed="false">
      <c r="A282" s="0" t="n">
        <v>2025</v>
      </c>
      <c r="B282" s="0" t="s">
        <v>612</v>
      </c>
      <c r="C282" s="0" t="s">
        <v>613</v>
      </c>
      <c r="D282" s="1" t="s">
        <v>113</v>
      </c>
      <c r="E282" s="0" t="s">
        <v>611</v>
      </c>
      <c r="F282" s="0" t="n">
        <v>0</v>
      </c>
      <c r="G282" s="0" t="n">
        <v>0</v>
      </c>
      <c r="H282" s="0" t="n">
        <v>0</v>
      </c>
      <c r="I282" s="2" t="n">
        <f aca="false">G282+H282-F282</f>
        <v>0</v>
      </c>
    </row>
    <row r="283" customFormat="false" ht="15.75" hidden="false" customHeight="false" outlineLevel="0" collapsed="false">
      <c r="A283" s="0" t="n">
        <v>2025</v>
      </c>
      <c r="B283" s="0" t="s">
        <v>614</v>
      </c>
      <c r="C283" s="0" t="s">
        <v>615</v>
      </c>
      <c r="D283" s="1" t="s">
        <v>50</v>
      </c>
      <c r="E283" s="0" t="s">
        <v>616</v>
      </c>
      <c r="F283" s="0" t="n">
        <v>0</v>
      </c>
      <c r="G283" s="0" t="n">
        <v>0</v>
      </c>
      <c r="H283" s="0" t="n">
        <v>0</v>
      </c>
      <c r="I283" s="2" t="n">
        <f aca="false">G283+H283-F283</f>
        <v>0</v>
      </c>
    </row>
    <row r="284" customFormat="false" ht="15.75" hidden="false" customHeight="false" outlineLevel="0" collapsed="false">
      <c r="A284" s="0" t="n">
        <v>2025</v>
      </c>
      <c r="B284" s="0" t="s">
        <v>617</v>
      </c>
      <c r="C284" s="0" t="s">
        <v>618</v>
      </c>
      <c r="D284" s="1" t="s">
        <v>423</v>
      </c>
      <c r="E284" s="0" t="s">
        <v>619</v>
      </c>
      <c r="F284" s="0" t="n">
        <v>1000</v>
      </c>
      <c r="G284" s="0" t="n">
        <f aca="false">0</f>
        <v>0</v>
      </c>
      <c r="H284" s="3" t="n">
        <v>0</v>
      </c>
      <c r="I284" s="2" t="n">
        <f aca="false">G284+H284-F284</f>
        <v>-1000</v>
      </c>
    </row>
    <row r="285" customFormat="false" ht="15.75" hidden="false" customHeight="false" outlineLevel="0" collapsed="false">
      <c r="A285" s="0" t="n">
        <v>2025</v>
      </c>
      <c r="B285" s="0" t="s">
        <v>620</v>
      </c>
      <c r="C285" s="0" t="s">
        <v>621</v>
      </c>
      <c r="D285" s="1" t="s">
        <v>50</v>
      </c>
      <c r="E285" s="0" t="n">
        <v>723301582</v>
      </c>
      <c r="F285" s="0" t="n">
        <v>0</v>
      </c>
      <c r="G285" s="0" t="n">
        <v>0</v>
      </c>
      <c r="H285" s="0" t="n">
        <v>0</v>
      </c>
      <c r="I285" s="2" t="n">
        <f aca="false">G285+H285-F285</f>
        <v>0</v>
      </c>
    </row>
    <row r="286" customFormat="false" ht="15.75" hidden="false" customHeight="false" outlineLevel="0" collapsed="false">
      <c r="A286" s="0" t="n">
        <v>2025</v>
      </c>
      <c r="B286" s="0" t="s">
        <v>622</v>
      </c>
      <c r="C286" s="0" t="s">
        <v>623</v>
      </c>
      <c r="D286" s="1" t="s">
        <v>277</v>
      </c>
      <c r="E286" s="0" t="n">
        <v>723301582</v>
      </c>
      <c r="F286" s="0" t="n">
        <v>0</v>
      </c>
      <c r="G286" s="0" t="n">
        <v>0</v>
      </c>
      <c r="H286" s="0" t="n">
        <v>0</v>
      </c>
      <c r="I286" s="2" t="n">
        <f aca="false">G286+H286-F286</f>
        <v>0</v>
      </c>
    </row>
    <row r="287" customFormat="false" ht="15.75" hidden="false" customHeight="false" outlineLevel="0" collapsed="false">
      <c r="A287" s="0" t="n">
        <v>2025</v>
      </c>
      <c r="B287" s="0" t="s">
        <v>624</v>
      </c>
      <c r="C287" s="0" t="s">
        <v>625</v>
      </c>
      <c r="D287" s="1" t="s">
        <v>366</v>
      </c>
      <c r="E287" s="0" t="n">
        <v>705362646</v>
      </c>
      <c r="F287" s="0" t="n">
        <v>0</v>
      </c>
      <c r="G287" s="0" t="n">
        <v>0</v>
      </c>
      <c r="H287" s="0" t="n">
        <v>0</v>
      </c>
      <c r="I287" s="2" t="n">
        <f aca="false">G287+H287-F287</f>
        <v>0</v>
      </c>
    </row>
    <row r="288" customFormat="false" ht="15.75" hidden="false" customHeight="false" outlineLevel="0" collapsed="false">
      <c r="A288" s="0" t="n">
        <v>2025</v>
      </c>
      <c r="B288" s="0" t="s">
        <v>626</v>
      </c>
      <c r="C288" s="0" t="s">
        <v>627</v>
      </c>
      <c r="D288" s="1" t="s">
        <v>366</v>
      </c>
      <c r="E288" s="0" t="s">
        <v>628</v>
      </c>
      <c r="F288" s="0" t="n">
        <v>0</v>
      </c>
      <c r="G288" s="0" t="n">
        <v>0</v>
      </c>
      <c r="H288" s="3" t="n">
        <v>1000</v>
      </c>
      <c r="I288" s="2" t="n">
        <f aca="false">G288+H288-F288</f>
        <v>1000</v>
      </c>
    </row>
    <row r="289" customFormat="false" ht="15.75" hidden="false" customHeight="false" outlineLevel="0" collapsed="false">
      <c r="A289" s="0" t="n">
        <v>2025</v>
      </c>
      <c r="B289" s="0" t="s">
        <v>629</v>
      </c>
      <c r="C289" s="0" t="s">
        <v>630</v>
      </c>
      <c r="D289" s="1" t="s">
        <v>366</v>
      </c>
      <c r="E289" s="0" t="n">
        <v>703548845</v>
      </c>
      <c r="F289" s="0" t="n">
        <v>0</v>
      </c>
      <c r="G289" s="0" t="n">
        <v>0</v>
      </c>
      <c r="H289" s="0" t="n">
        <v>0</v>
      </c>
      <c r="I289" s="2" t="n">
        <f aca="false">G289+H289-F289</f>
        <v>0</v>
      </c>
    </row>
    <row r="290" customFormat="false" ht="15.75" hidden="false" customHeight="false" outlineLevel="0" collapsed="false">
      <c r="A290" s="0" t="n">
        <v>2024</v>
      </c>
      <c r="B290" s="0" t="s">
        <v>631</v>
      </c>
      <c r="C290" s="0" t="s">
        <v>632</v>
      </c>
      <c r="D290" s="1" t="s">
        <v>366</v>
      </c>
      <c r="E290" s="0" t="s">
        <v>633</v>
      </c>
      <c r="F290" s="0" t="n">
        <v>0</v>
      </c>
      <c r="G290" s="0" t="n">
        <v>0</v>
      </c>
      <c r="H290" s="0" t="n">
        <v>0</v>
      </c>
      <c r="I290" s="2" t="n">
        <f aca="false">G290+H290-F290</f>
        <v>0</v>
      </c>
    </row>
    <row r="291" customFormat="false" ht="15.75" hidden="false" customHeight="false" outlineLevel="0" collapsed="false">
      <c r="A291" s="0" t="n">
        <v>2025</v>
      </c>
      <c r="B291" s="0" t="s">
        <v>634</v>
      </c>
      <c r="C291" s="0" t="s">
        <v>635</v>
      </c>
      <c r="D291" s="1" t="s">
        <v>514</v>
      </c>
      <c r="E291" s="0" t="s">
        <v>636</v>
      </c>
      <c r="F291" s="0" t="n">
        <v>0</v>
      </c>
      <c r="G291" s="0" t="n">
        <v>0</v>
      </c>
      <c r="H291" s="0" t="n">
        <v>0</v>
      </c>
      <c r="I291" s="2" t="n">
        <f aca="false">G291+H291-F291</f>
        <v>0</v>
      </c>
    </row>
    <row r="292" customFormat="false" ht="15.75" hidden="false" customHeight="false" outlineLevel="0" collapsed="false">
      <c r="A292" s="0" t="n">
        <v>2025</v>
      </c>
      <c r="B292" s="0" t="s">
        <v>637</v>
      </c>
      <c r="C292" s="0" t="s">
        <v>638</v>
      </c>
      <c r="D292" s="1" t="s">
        <v>212</v>
      </c>
      <c r="E292" s="0" t="s">
        <v>636</v>
      </c>
      <c r="F292" s="0" t="n">
        <v>0</v>
      </c>
      <c r="G292" s="0" t="n">
        <v>0</v>
      </c>
      <c r="H292" s="0" t="n">
        <v>0</v>
      </c>
      <c r="I292" s="2" t="n">
        <f aca="false">G292+H292-F292</f>
        <v>0</v>
      </c>
    </row>
    <row r="293" customFormat="false" ht="15.75" hidden="false" customHeight="false" outlineLevel="0" collapsed="false">
      <c r="A293" s="0" t="n">
        <v>2025</v>
      </c>
      <c r="B293" s="0" t="s">
        <v>639</v>
      </c>
      <c r="C293" s="0" t="s">
        <v>640</v>
      </c>
      <c r="D293" s="1" t="s">
        <v>212</v>
      </c>
      <c r="E293" s="0" t="s">
        <v>641</v>
      </c>
      <c r="F293" s="0" t="n">
        <v>0</v>
      </c>
      <c r="G293" s="0" t="n">
        <v>0</v>
      </c>
      <c r="H293" s="0" t="n">
        <v>0</v>
      </c>
      <c r="I293" s="2" t="n">
        <f aca="false">G293+H293-F293</f>
        <v>0</v>
      </c>
    </row>
    <row r="294" customFormat="false" ht="15.75" hidden="false" customHeight="false" outlineLevel="0" collapsed="false">
      <c r="A294" s="0" t="n">
        <v>2025</v>
      </c>
      <c r="B294" s="0" t="s">
        <v>642</v>
      </c>
      <c r="C294" s="0" t="s">
        <v>643</v>
      </c>
      <c r="D294" s="1" t="s">
        <v>423</v>
      </c>
      <c r="E294" s="0" t="s">
        <v>644</v>
      </c>
      <c r="F294" s="0" t="n">
        <v>0</v>
      </c>
      <c r="G294" s="0" t="n">
        <v>0</v>
      </c>
      <c r="H294" s="0" t="n">
        <v>0</v>
      </c>
      <c r="I294" s="2" t="n">
        <f aca="false">G294+H294-F294</f>
        <v>0</v>
      </c>
    </row>
    <row r="295" customFormat="false" ht="15.75" hidden="false" customHeight="false" outlineLevel="0" collapsed="false">
      <c r="A295" s="0" t="n">
        <v>2025</v>
      </c>
      <c r="B295" s="0" t="s">
        <v>645</v>
      </c>
      <c r="C295" s="0" t="s">
        <v>646</v>
      </c>
      <c r="D295" s="1" t="s">
        <v>576</v>
      </c>
      <c r="E295" s="0" t="s">
        <v>647</v>
      </c>
      <c r="F295" s="0" t="n">
        <v>0</v>
      </c>
      <c r="G295" s="0" t="n">
        <v>0</v>
      </c>
      <c r="H295" s="0" t="n">
        <v>0</v>
      </c>
      <c r="I295" s="2" t="n">
        <f aca="false">G295+H295-F295</f>
        <v>0</v>
      </c>
    </row>
    <row r="296" customFormat="false" ht="15.75" hidden="false" customHeight="false" outlineLevel="0" collapsed="false">
      <c r="A296" s="0" t="n">
        <v>2025</v>
      </c>
      <c r="B296" s="0" t="s">
        <v>648</v>
      </c>
      <c r="C296" s="0" t="s">
        <v>649</v>
      </c>
      <c r="D296" s="1" t="s">
        <v>514</v>
      </c>
      <c r="E296" s="0" t="s">
        <v>650</v>
      </c>
      <c r="F296" s="0" t="n">
        <v>0</v>
      </c>
      <c r="G296" s="0" t="n">
        <v>0</v>
      </c>
      <c r="H296" s="0" t="n">
        <f aca="false">0</f>
        <v>0</v>
      </c>
      <c r="I296" s="2" t="n">
        <f aca="false">G296+H296-F296</f>
        <v>0</v>
      </c>
    </row>
    <row r="297" customFormat="false" ht="15.75" hidden="false" customHeight="false" outlineLevel="0" collapsed="false">
      <c r="A297" s="0" t="n">
        <v>2025</v>
      </c>
      <c r="B297" s="0" t="s">
        <v>651</v>
      </c>
      <c r="C297" s="0" t="s">
        <v>652</v>
      </c>
      <c r="D297" s="1" t="s">
        <v>113</v>
      </c>
      <c r="E297" s="0" t="s">
        <v>653</v>
      </c>
      <c r="F297" s="0" t="n">
        <v>0</v>
      </c>
      <c r="G297" s="0" t="n">
        <v>0</v>
      </c>
      <c r="H297" s="0" t="n">
        <v>0</v>
      </c>
      <c r="I297" s="2" t="n">
        <f aca="false">G297+H297-F297</f>
        <v>0</v>
      </c>
    </row>
    <row r="298" customFormat="false" ht="15.75" hidden="false" customHeight="false" outlineLevel="0" collapsed="false">
      <c r="A298" s="0" t="n">
        <v>2025</v>
      </c>
      <c r="B298" s="0" t="s">
        <v>654</v>
      </c>
      <c r="C298" s="0" t="s">
        <v>655</v>
      </c>
      <c r="D298" s="1" t="s">
        <v>277</v>
      </c>
      <c r="E298" s="0" t="s">
        <v>656</v>
      </c>
      <c r="F298" s="0" t="n">
        <v>0</v>
      </c>
      <c r="G298" s="0" t="n">
        <v>0</v>
      </c>
      <c r="H298" s="0" t="n">
        <v>0</v>
      </c>
      <c r="I298" s="2" t="n">
        <f aca="false">G298+H298-F298</f>
        <v>0</v>
      </c>
    </row>
    <row r="299" customFormat="false" ht="15.75" hidden="false" customHeight="false" outlineLevel="0" collapsed="false">
      <c r="A299" s="0" t="n">
        <v>2025</v>
      </c>
      <c r="B299" s="0" t="s">
        <v>657</v>
      </c>
      <c r="C299" s="0" t="s">
        <v>658</v>
      </c>
      <c r="D299" s="1" t="s">
        <v>576</v>
      </c>
      <c r="E299" s="0" t="s">
        <v>659</v>
      </c>
      <c r="F299" s="0" t="n">
        <v>0</v>
      </c>
      <c r="G299" s="0" t="n">
        <v>0</v>
      </c>
      <c r="H299" s="0" t="n">
        <v>0</v>
      </c>
      <c r="I299" s="2" t="n">
        <f aca="false">G299+H299-F299</f>
        <v>0</v>
      </c>
    </row>
    <row r="300" customFormat="false" ht="15.75" hidden="false" customHeight="false" outlineLevel="0" collapsed="false">
      <c r="A300" s="0" t="n">
        <v>2025</v>
      </c>
      <c r="B300" s="0" t="s">
        <v>660</v>
      </c>
      <c r="C300" s="0" t="s">
        <v>661</v>
      </c>
      <c r="D300" s="1" t="s">
        <v>366</v>
      </c>
      <c r="E300" s="0" t="s">
        <v>662</v>
      </c>
      <c r="F300" s="0" t="n">
        <v>0</v>
      </c>
      <c r="G300" s="0" t="n">
        <v>0</v>
      </c>
      <c r="H300" s="0" t="n">
        <v>0</v>
      </c>
      <c r="I300" s="2" t="n">
        <f aca="false">G300+H300-F300</f>
        <v>0</v>
      </c>
    </row>
    <row r="301" customFormat="false" ht="15.75" hidden="false" customHeight="false" outlineLevel="0" collapsed="false">
      <c r="A301" s="0" t="n">
        <v>2025</v>
      </c>
      <c r="B301" s="0" t="s">
        <v>663</v>
      </c>
      <c r="C301" s="0" t="s">
        <v>664</v>
      </c>
      <c r="D301" s="1" t="s">
        <v>576</v>
      </c>
      <c r="E301" s="0" t="s">
        <v>665</v>
      </c>
      <c r="F301" s="0" t="n">
        <v>0</v>
      </c>
      <c r="G301" s="0" t="n">
        <v>0</v>
      </c>
      <c r="H301" s="0" t="n">
        <v>0</v>
      </c>
      <c r="I301" s="2" t="n">
        <f aca="false">G301+H301-F301</f>
        <v>0</v>
      </c>
    </row>
    <row r="302" customFormat="false" ht="15.75" hidden="false" customHeight="false" outlineLevel="0" collapsed="false">
      <c r="A302" s="0" t="n">
        <v>2025</v>
      </c>
      <c r="B302" s="0" t="s">
        <v>666</v>
      </c>
      <c r="C302" s="0" t="s">
        <v>667</v>
      </c>
      <c r="D302" s="1" t="s">
        <v>576</v>
      </c>
      <c r="E302" s="0" t="s">
        <v>668</v>
      </c>
      <c r="F302" s="0" t="n">
        <v>0</v>
      </c>
      <c r="G302" s="0" t="n">
        <v>0</v>
      </c>
      <c r="H302" s="0" t="n">
        <v>0</v>
      </c>
      <c r="I302" s="2" t="n">
        <f aca="false">G302+H302-F302</f>
        <v>0</v>
      </c>
    </row>
    <row r="303" customFormat="false" ht="15.75" hidden="false" customHeight="false" outlineLevel="0" collapsed="false">
      <c r="A303" s="0" t="n">
        <v>2025</v>
      </c>
      <c r="B303" s="0" t="s">
        <v>669</v>
      </c>
      <c r="C303" s="0" t="s">
        <v>670</v>
      </c>
      <c r="D303" s="1" t="s">
        <v>576</v>
      </c>
      <c r="E303" s="0" t="n">
        <v>724573412</v>
      </c>
      <c r="F303" s="0" t="n">
        <v>0</v>
      </c>
      <c r="G303" s="0" t="n">
        <v>0</v>
      </c>
      <c r="H303" s="0" t="n">
        <v>0</v>
      </c>
      <c r="I303" s="2" t="n">
        <f aca="false">G303+H303-F303</f>
        <v>0</v>
      </c>
    </row>
    <row r="304" customFormat="false" ht="15.75" hidden="false" customHeight="false" outlineLevel="0" collapsed="false">
      <c r="A304" s="0" t="n">
        <v>2025</v>
      </c>
      <c r="B304" s="0" t="s">
        <v>671</v>
      </c>
      <c r="C304" s="0" t="s">
        <v>672</v>
      </c>
      <c r="D304" s="1" t="s">
        <v>366</v>
      </c>
      <c r="E304" s="0" t="s">
        <v>673</v>
      </c>
      <c r="F304" s="0" t="n">
        <v>0</v>
      </c>
      <c r="G304" s="0" t="n">
        <v>0</v>
      </c>
      <c r="H304" s="0" t="n">
        <v>0</v>
      </c>
      <c r="I304" s="2" t="n">
        <f aca="false">G304+H304-F304</f>
        <v>0</v>
      </c>
    </row>
    <row r="305" customFormat="false" ht="15.75" hidden="false" customHeight="false" outlineLevel="0" collapsed="false">
      <c r="A305" s="0" t="n">
        <v>2025</v>
      </c>
      <c r="B305" s="0" t="s">
        <v>674</v>
      </c>
      <c r="C305" s="0" t="s">
        <v>675</v>
      </c>
      <c r="D305" s="1" t="s">
        <v>576</v>
      </c>
      <c r="E305" s="0" t="s">
        <v>676</v>
      </c>
      <c r="F305" s="0" t="n">
        <v>0</v>
      </c>
      <c r="G305" s="0" t="n">
        <v>0</v>
      </c>
      <c r="H305" s="0" t="n">
        <v>0</v>
      </c>
      <c r="I305" s="2" t="n">
        <f aca="false">G305+H305-F305</f>
        <v>0</v>
      </c>
    </row>
    <row r="306" customFormat="false" ht="15.75" hidden="false" customHeight="false" outlineLevel="0" collapsed="false">
      <c r="A306" s="0" t="n">
        <v>2025</v>
      </c>
      <c r="B306" s="0" t="s">
        <v>677</v>
      </c>
      <c r="C306" s="0" t="s">
        <v>678</v>
      </c>
      <c r="D306" s="1" t="s">
        <v>576</v>
      </c>
      <c r="E306" s="0" t="s">
        <v>679</v>
      </c>
      <c r="F306" s="0" t="n">
        <v>0</v>
      </c>
      <c r="G306" s="0" t="n">
        <v>0</v>
      </c>
      <c r="H306" s="0" t="n">
        <v>0</v>
      </c>
      <c r="I306" s="2" t="n">
        <f aca="false">G306+H306-F306</f>
        <v>0</v>
      </c>
    </row>
    <row r="307" customFormat="false" ht="15.75" hidden="false" customHeight="false" outlineLevel="0" collapsed="false">
      <c r="A307" s="0" t="n">
        <v>2025</v>
      </c>
      <c r="B307" s="0" t="s">
        <v>680</v>
      </c>
      <c r="C307" s="0" t="s">
        <v>681</v>
      </c>
      <c r="D307" s="1" t="s">
        <v>423</v>
      </c>
      <c r="E307" s="0" t="s">
        <v>682</v>
      </c>
      <c r="F307" s="0" t="n">
        <v>0</v>
      </c>
      <c r="G307" s="0" t="n">
        <v>0</v>
      </c>
      <c r="H307" s="0" t="n">
        <v>0</v>
      </c>
      <c r="I307" s="2" t="n">
        <f aca="false">G307+H307-F307</f>
        <v>0</v>
      </c>
    </row>
    <row r="308" customFormat="false" ht="15.75" hidden="false" customHeight="false" outlineLevel="0" collapsed="false">
      <c r="A308" s="0" t="n">
        <v>2025</v>
      </c>
      <c r="B308" s="0" t="s">
        <v>683</v>
      </c>
      <c r="C308" s="0" t="s">
        <v>684</v>
      </c>
      <c r="D308" s="1" t="s">
        <v>576</v>
      </c>
      <c r="E308" s="0" t="s">
        <v>685</v>
      </c>
      <c r="F308" s="0" t="n">
        <v>0</v>
      </c>
      <c r="G308" s="0" t="n">
        <v>0</v>
      </c>
      <c r="H308" s="0" t="n">
        <v>0</v>
      </c>
      <c r="I308" s="2" t="n">
        <f aca="false">G308+H308-F308</f>
        <v>0</v>
      </c>
    </row>
    <row r="309" customFormat="false" ht="15.75" hidden="false" customHeight="false" outlineLevel="0" collapsed="false">
      <c r="A309" s="0" t="n">
        <v>2025</v>
      </c>
      <c r="B309" s="0" t="s">
        <v>686</v>
      </c>
      <c r="C309" s="0" t="s">
        <v>687</v>
      </c>
      <c r="D309" s="1" t="s">
        <v>366</v>
      </c>
      <c r="E309" s="0" t="s">
        <v>688</v>
      </c>
      <c r="F309" s="0" t="n">
        <v>0</v>
      </c>
      <c r="G309" s="0" t="n">
        <v>0</v>
      </c>
      <c r="H309" s="0" t="n">
        <v>0</v>
      </c>
      <c r="I309" s="2" t="n">
        <f aca="false">G309+H309-F309</f>
        <v>0</v>
      </c>
    </row>
    <row r="310" customFormat="false" ht="15.75" hidden="false" customHeight="false" outlineLevel="0" collapsed="false">
      <c r="A310" s="0" t="n">
        <v>2025</v>
      </c>
      <c r="B310" s="0" t="s">
        <v>689</v>
      </c>
      <c r="C310" s="0" t="s">
        <v>690</v>
      </c>
      <c r="D310" s="1" t="s">
        <v>576</v>
      </c>
      <c r="E310" s="0" t="s">
        <v>691</v>
      </c>
      <c r="F310" s="0" t="n">
        <v>0</v>
      </c>
      <c r="G310" s="0" t="n">
        <v>0</v>
      </c>
      <c r="H310" s="0" t="n">
        <v>0</v>
      </c>
      <c r="I310" s="2" t="n">
        <f aca="false">G310+H310-F310</f>
        <v>0</v>
      </c>
    </row>
    <row r="311" customFormat="false" ht="15.75" hidden="false" customHeight="false" outlineLevel="0" collapsed="false">
      <c r="A311" s="0" t="n">
        <v>2025</v>
      </c>
      <c r="B311" s="0" t="s">
        <v>692</v>
      </c>
      <c r="C311" s="0" t="s">
        <v>693</v>
      </c>
      <c r="D311" s="1" t="s">
        <v>113</v>
      </c>
      <c r="E311" s="0" t="s">
        <v>694</v>
      </c>
      <c r="F311" s="0" t="n">
        <v>0</v>
      </c>
      <c r="G311" s="0" t="n">
        <v>0</v>
      </c>
      <c r="H311" s="0" t="n">
        <v>0</v>
      </c>
      <c r="I311" s="2" t="n">
        <f aca="false">G311+H311-F311</f>
        <v>0</v>
      </c>
    </row>
    <row r="312" customFormat="false" ht="15.75" hidden="false" customHeight="false" outlineLevel="0" collapsed="false">
      <c r="A312" s="0" t="n">
        <v>2025</v>
      </c>
      <c r="B312" s="0" t="s">
        <v>695</v>
      </c>
      <c r="C312" s="0" t="s">
        <v>696</v>
      </c>
      <c r="D312" s="1" t="s">
        <v>576</v>
      </c>
      <c r="E312" s="0" t="s">
        <v>697</v>
      </c>
      <c r="F312" s="0" t="n">
        <v>0</v>
      </c>
      <c r="G312" s="3" t="n">
        <v>1750</v>
      </c>
      <c r="H312" s="3" t="n">
        <v>35000</v>
      </c>
      <c r="I312" s="2" t="n">
        <f aca="false">G312+H312-F312</f>
        <v>36750</v>
      </c>
    </row>
    <row r="313" customFormat="false" ht="15.75" hidden="false" customHeight="false" outlineLevel="0" collapsed="false">
      <c r="A313" s="0" t="n">
        <v>2025</v>
      </c>
      <c r="B313" s="0" t="s">
        <v>698</v>
      </c>
      <c r="C313" s="0" t="s">
        <v>699</v>
      </c>
      <c r="D313" s="1" t="s">
        <v>576</v>
      </c>
      <c r="E313" s="0" t="s">
        <v>700</v>
      </c>
      <c r="F313" s="0" t="n">
        <v>0</v>
      </c>
      <c r="G313" s="0" t="n">
        <v>0</v>
      </c>
      <c r="H313" s="0" t="n">
        <v>0</v>
      </c>
      <c r="I313" s="2" t="n">
        <f aca="false">G313+H313-F313</f>
        <v>0</v>
      </c>
    </row>
    <row r="314" customFormat="false" ht="15.75" hidden="false" customHeight="false" outlineLevel="0" collapsed="false">
      <c r="A314" s="0" t="n">
        <v>2025</v>
      </c>
      <c r="B314" s="0" t="s">
        <v>701</v>
      </c>
      <c r="C314" s="0" t="s">
        <v>702</v>
      </c>
      <c r="D314" s="1" t="s">
        <v>423</v>
      </c>
      <c r="E314" s="0" t="s">
        <v>703</v>
      </c>
      <c r="F314" s="0" t="n">
        <v>0</v>
      </c>
      <c r="G314" s="0" t="n">
        <v>0</v>
      </c>
      <c r="H314" s="0" t="n">
        <v>0</v>
      </c>
      <c r="I314" s="2" t="n">
        <f aca="false">G314+H314-F314</f>
        <v>0</v>
      </c>
    </row>
    <row r="315" customFormat="false" ht="15.75" hidden="false" customHeight="false" outlineLevel="0" collapsed="false">
      <c r="A315" s="0" t="n">
        <v>2025</v>
      </c>
      <c r="B315" s="0" t="s">
        <v>704</v>
      </c>
      <c r="C315" s="0" t="s">
        <v>705</v>
      </c>
      <c r="D315" s="1" t="s">
        <v>277</v>
      </c>
      <c r="E315" s="0" t="s">
        <v>706</v>
      </c>
      <c r="F315" s="0" t="n">
        <v>0</v>
      </c>
      <c r="G315" s="0" t="n">
        <v>0</v>
      </c>
      <c r="H315" s="0" t="n">
        <v>0</v>
      </c>
      <c r="I315" s="2" t="n">
        <f aca="false">G315+H315-F315</f>
        <v>0</v>
      </c>
    </row>
    <row r="316" customFormat="false" ht="15.75" hidden="false" customHeight="false" outlineLevel="0" collapsed="false">
      <c r="A316" s="0" t="n">
        <v>2025</v>
      </c>
      <c r="B316" s="0" t="s">
        <v>707</v>
      </c>
      <c r="C316" s="0" t="s">
        <v>708</v>
      </c>
      <c r="D316" s="1" t="s">
        <v>113</v>
      </c>
      <c r="E316" s="0" t="s">
        <v>706</v>
      </c>
      <c r="F316" s="0" t="n">
        <v>0</v>
      </c>
      <c r="G316" s="0" t="n">
        <v>0</v>
      </c>
      <c r="H316" s="0" t="n">
        <v>0</v>
      </c>
      <c r="I316" s="2" t="n">
        <f aca="false">G316+H316-F316</f>
        <v>0</v>
      </c>
    </row>
    <row r="317" customFormat="false" ht="15.75" hidden="false" customHeight="false" outlineLevel="0" collapsed="false">
      <c r="A317" s="0" t="n">
        <v>2025</v>
      </c>
      <c r="B317" s="0" t="s">
        <v>709</v>
      </c>
      <c r="C317" s="0" t="s">
        <v>710</v>
      </c>
      <c r="D317" s="1" t="s">
        <v>277</v>
      </c>
      <c r="E317" s="0" t="s">
        <v>711</v>
      </c>
      <c r="F317" s="0" t="n">
        <v>0</v>
      </c>
      <c r="G317" s="0" t="n">
        <v>0</v>
      </c>
      <c r="H317" s="0" t="n">
        <v>0</v>
      </c>
      <c r="I317" s="2" t="n">
        <f aca="false">G317+H317-F317</f>
        <v>0</v>
      </c>
    </row>
    <row r="318" customFormat="false" ht="15.75" hidden="false" customHeight="false" outlineLevel="0" collapsed="false">
      <c r="A318" s="0" t="n">
        <v>2025</v>
      </c>
      <c r="B318" s="0" t="s">
        <v>712</v>
      </c>
      <c r="C318" s="0" t="s">
        <v>713</v>
      </c>
      <c r="D318" s="1" t="s">
        <v>423</v>
      </c>
      <c r="E318" s="0" t="s">
        <v>711</v>
      </c>
      <c r="F318" s="0" t="n">
        <v>0</v>
      </c>
      <c r="G318" s="0" t="n">
        <v>0</v>
      </c>
      <c r="H318" s="0" t="n">
        <v>0</v>
      </c>
      <c r="I318" s="2" t="n">
        <f aca="false">G318+H318-F318</f>
        <v>0</v>
      </c>
    </row>
    <row r="319" customFormat="false" ht="15.75" hidden="false" customHeight="false" outlineLevel="0" collapsed="false">
      <c r="A319" s="0" t="n">
        <v>2025</v>
      </c>
      <c r="B319" s="0" t="s">
        <v>714</v>
      </c>
      <c r="C319" s="0" t="s">
        <v>715</v>
      </c>
      <c r="D319" s="1" t="s">
        <v>277</v>
      </c>
      <c r="E319" s="0" t="s">
        <v>716</v>
      </c>
      <c r="F319" s="0" t="n">
        <v>0</v>
      </c>
      <c r="G319" s="0" t="n">
        <v>0</v>
      </c>
      <c r="H319" s="0" t="n">
        <v>0</v>
      </c>
      <c r="I319" s="2" t="n">
        <f aca="false">G319+H319-F319</f>
        <v>0</v>
      </c>
    </row>
    <row r="320" customFormat="false" ht="15.75" hidden="false" customHeight="false" outlineLevel="0" collapsed="false">
      <c r="A320" s="0" t="n">
        <v>2025</v>
      </c>
      <c r="B320" s="0" t="s">
        <v>717</v>
      </c>
      <c r="C320" s="0" t="s">
        <v>718</v>
      </c>
      <c r="D320" s="1" t="s">
        <v>576</v>
      </c>
      <c r="E320" s="0" t="s">
        <v>719</v>
      </c>
      <c r="F320" s="0" t="n">
        <v>0</v>
      </c>
      <c r="G320" s="0" t="n">
        <v>0</v>
      </c>
      <c r="H320" s="0" t="n">
        <v>0</v>
      </c>
      <c r="I320" s="2" t="n">
        <f aca="false">G320+H320-F320</f>
        <v>0</v>
      </c>
    </row>
    <row r="321" customFormat="false" ht="15.75" hidden="false" customHeight="false" outlineLevel="0" collapsed="false">
      <c r="A321" s="0" t="n">
        <v>2025</v>
      </c>
      <c r="B321" s="0" t="s">
        <v>720</v>
      </c>
      <c r="C321" s="0" t="s">
        <v>721</v>
      </c>
      <c r="D321" s="1" t="s">
        <v>576</v>
      </c>
      <c r="E321" s="0" t="s">
        <v>722</v>
      </c>
      <c r="F321" s="0" t="n">
        <v>0</v>
      </c>
      <c r="G321" s="0" t="n">
        <v>0</v>
      </c>
      <c r="H321" s="0" t="n">
        <v>0</v>
      </c>
      <c r="I321" s="2" t="n">
        <f aca="false">G321+H321-F321</f>
        <v>0</v>
      </c>
    </row>
    <row r="322" customFormat="false" ht="15.75" hidden="false" customHeight="false" outlineLevel="0" collapsed="false">
      <c r="A322" s="0" t="n">
        <v>2025</v>
      </c>
      <c r="B322" s="0" t="s">
        <v>723</v>
      </c>
      <c r="C322" s="0" t="s">
        <v>724</v>
      </c>
      <c r="D322" s="1" t="s">
        <v>514</v>
      </c>
      <c r="E322" s="0" t="s">
        <v>725</v>
      </c>
      <c r="F322" s="0" t="n">
        <v>0</v>
      </c>
      <c r="G322" s="0" t="n">
        <v>0</v>
      </c>
      <c r="H322" s="0" t="n">
        <v>0</v>
      </c>
      <c r="I322" s="2" t="n">
        <f aca="false">G322+H322-F322</f>
        <v>0</v>
      </c>
    </row>
    <row r="323" customFormat="false" ht="15.75" hidden="false" customHeight="false" outlineLevel="0" collapsed="false">
      <c r="A323" s="0" t="n">
        <v>2025</v>
      </c>
      <c r="B323" s="0" t="s">
        <v>726</v>
      </c>
      <c r="C323" s="0" t="s">
        <v>727</v>
      </c>
      <c r="D323" s="1" t="s">
        <v>366</v>
      </c>
      <c r="E323" s="0" t="s">
        <v>728</v>
      </c>
      <c r="F323" s="0" t="n">
        <v>0</v>
      </c>
      <c r="G323" s="0" t="n">
        <v>0</v>
      </c>
      <c r="H323" s="3" t="n">
        <v>3000</v>
      </c>
      <c r="I323" s="2" t="n">
        <f aca="false">G323+H323-F323</f>
        <v>3000</v>
      </c>
    </row>
    <row r="324" customFormat="false" ht="15.75" hidden="false" customHeight="false" outlineLevel="0" collapsed="false">
      <c r="A324" s="0" t="n">
        <v>2025</v>
      </c>
      <c r="B324" s="0" t="s">
        <v>729</v>
      </c>
      <c r="C324" s="0" t="s">
        <v>730</v>
      </c>
      <c r="D324" s="1" t="s">
        <v>576</v>
      </c>
      <c r="E324" s="0" t="s">
        <v>731</v>
      </c>
      <c r="F324" s="0" t="n">
        <v>0</v>
      </c>
      <c r="G324" s="0" t="n">
        <v>0</v>
      </c>
      <c r="H324" s="0" t="n">
        <v>0</v>
      </c>
      <c r="I324" s="2" t="n">
        <f aca="false">G324+H324-F324</f>
        <v>0</v>
      </c>
    </row>
    <row r="325" customFormat="false" ht="15.75" hidden="false" customHeight="false" outlineLevel="0" collapsed="false">
      <c r="A325" s="0" t="n">
        <v>2025</v>
      </c>
      <c r="B325" s="0" t="s">
        <v>732</v>
      </c>
      <c r="C325" s="0" t="s">
        <v>733</v>
      </c>
      <c r="D325" s="1" t="s">
        <v>576</v>
      </c>
      <c r="E325" s="0" t="s">
        <v>734</v>
      </c>
      <c r="F325" s="0" t="n">
        <v>0</v>
      </c>
      <c r="G325" s="0" t="n">
        <v>0</v>
      </c>
      <c r="H325" s="0" t="n">
        <v>0</v>
      </c>
      <c r="I325" s="2" t="n">
        <f aca="false">G325+H325-F325</f>
        <v>0</v>
      </c>
    </row>
    <row r="326" customFormat="false" ht="15.75" hidden="false" customHeight="false" outlineLevel="0" collapsed="false">
      <c r="A326" s="0" t="n">
        <v>2025</v>
      </c>
      <c r="B326" s="0" t="s">
        <v>735</v>
      </c>
      <c r="C326" s="0" t="s">
        <v>736</v>
      </c>
      <c r="D326" s="1" t="s">
        <v>366</v>
      </c>
      <c r="E326" s="0" t="n">
        <v>740092799</v>
      </c>
      <c r="F326" s="0" t="n">
        <v>0</v>
      </c>
      <c r="G326" s="0" t="n">
        <v>0</v>
      </c>
      <c r="H326" s="0" t="n">
        <v>0</v>
      </c>
      <c r="I326" s="2" t="n">
        <f aca="false">G326+H326-F326</f>
        <v>0</v>
      </c>
    </row>
    <row r="327" customFormat="false" ht="15.75" hidden="false" customHeight="false" outlineLevel="0" collapsed="false">
      <c r="A327" s="0" t="n">
        <v>2025</v>
      </c>
      <c r="B327" s="0" t="s">
        <v>737</v>
      </c>
      <c r="C327" s="0" t="s">
        <v>738</v>
      </c>
      <c r="D327" s="1" t="s">
        <v>576</v>
      </c>
      <c r="E327" s="0" t="n">
        <v>720294124</v>
      </c>
      <c r="F327" s="0" t="n">
        <v>0</v>
      </c>
      <c r="G327" s="0" t="n">
        <v>0</v>
      </c>
      <c r="H327" s="0" t="n">
        <v>0</v>
      </c>
      <c r="I327" s="2" t="n">
        <f aca="false">G327+H327-F327</f>
        <v>0</v>
      </c>
    </row>
    <row r="328" customFormat="false" ht="15.75" hidden="false" customHeight="false" outlineLevel="0" collapsed="false">
      <c r="A328" s="0" t="n">
        <v>2025</v>
      </c>
      <c r="B328" s="0" t="s">
        <v>739</v>
      </c>
      <c r="C328" s="0" t="s">
        <v>740</v>
      </c>
      <c r="D328" s="1" t="s">
        <v>514</v>
      </c>
      <c r="E328" s="0" t="s">
        <v>741</v>
      </c>
      <c r="F328" s="0" t="n">
        <v>0</v>
      </c>
      <c r="G328" s="0" t="n">
        <v>0</v>
      </c>
      <c r="H328" s="3" t="n">
        <v>12500</v>
      </c>
      <c r="I328" s="2" t="n">
        <f aca="false">G328+H328-F328</f>
        <v>12500</v>
      </c>
    </row>
    <row r="329" customFormat="false" ht="15.75" hidden="false" customHeight="false" outlineLevel="0" collapsed="false">
      <c r="A329" s="0" t="n">
        <v>2025</v>
      </c>
      <c r="B329" s="0" t="s">
        <v>742</v>
      </c>
      <c r="C329" s="0" t="s">
        <v>743</v>
      </c>
      <c r="D329" s="1" t="s">
        <v>366</v>
      </c>
      <c r="E329" s="0" t="s">
        <v>744</v>
      </c>
      <c r="F329" s="0" t="n">
        <v>0</v>
      </c>
      <c r="G329" s="0" t="n">
        <v>0</v>
      </c>
      <c r="H329" s="0" t="n">
        <v>0</v>
      </c>
      <c r="I329" s="2" t="n">
        <f aca="false">G329+H329-F329</f>
        <v>0</v>
      </c>
    </row>
    <row r="330" customFormat="false" ht="15.75" hidden="false" customHeight="false" outlineLevel="0" collapsed="false">
      <c r="A330" s="0" t="n">
        <v>2025</v>
      </c>
      <c r="B330" s="0" t="s">
        <v>745</v>
      </c>
      <c r="C330" s="0" t="s">
        <v>746</v>
      </c>
      <c r="D330" s="1" t="s">
        <v>212</v>
      </c>
      <c r="E330" s="0" t="s">
        <v>747</v>
      </c>
      <c r="F330" s="0" t="n">
        <v>0</v>
      </c>
      <c r="G330" s="0" t="n">
        <v>0</v>
      </c>
      <c r="H330" s="0" t="n">
        <v>0</v>
      </c>
      <c r="I330" s="2" t="n">
        <f aca="false">G330+H330-F330</f>
        <v>0</v>
      </c>
    </row>
    <row r="331" customFormat="false" ht="15.75" hidden="false" customHeight="false" outlineLevel="0" collapsed="false">
      <c r="A331" s="0" t="n">
        <v>2025</v>
      </c>
      <c r="B331" s="0" t="s">
        <v>748</v>
      </c>
      <c r="C331" s="0" t="s">
        <v>749</v>
      </c>
      <c r="D331" s="1" t="s">
        <v>576</v>
      </c>
      <c r="E331" s="0" t="s">
        <v>750</v>
      </c>
      <c r="F331" s="0" t="n">
        <v>0</v>
      </c>
      <c r="G331" s="0" t="n">
        <v>0</v>
      </c>
      <c r="H331" s="0" t="n">
        <v>0</v>
      </c>
      <c r="I331" s="2" t="n">
        <f aca="false">G331+H331-F331</f>
        <v>0</v>
      </c>
    </row>
    <row r="332" customFormat="false" ht="15.75" hidden="false" customHeight="false" outlineLevel="0" collapsed="false">
      <c r="A332" s="0" t="n">
        <v>2025</v>
      </c>
      <c r="B332" s="0" t="s">
        <v>751</v>
      </c>
      <c r="C332" s="0" t="s">
        <v>752</v>
      </c>
      <c r="D332" s="1" t="s">
        <v>366</v>
      </c>
      <c r="E332" s="0" t="s">
        <v>753</v>
      </c>
      <c r="F332" s="0" t="n">
        <v>0</v>
      </c>
      <c r="G332" s="0" t="n">
        <v>0</v>
      </c>
      <c r="H332" s="0" t="n">
        <v>0</v>
      </c>
      <c r="I332" s="2" t="n">
        <f aca="false">G332+H332-F332</f>
        <v>0</v>
      </c>
    </row>
    <row r="333" customFormat="false" ht="15.75" hidden="false" customHeight="false" outlineLevel="0" collapsed="false">
      <c r="A333" s="0" t="n">
        <v>2025</v>
      </c>
      <c r="B333" s="0" t="s">
        <v>754</v>
      </c>
      <c r="C333" s="0" t="s">
        <v>755</v>
      </c>
      <c r="D333" s="1" t="s">
        <v>366</v>
      </c>
      <c r="E333" s="0" t="s">
        <v>756</v>
      </c>
      <c r="F333" s="3" t="n">
        <v>0</v>
      </c>
      <c r="G333" s="0" t="n">
        <v>0</v>
      </c>
      <c r="H333" s="3" t="n">
        <v>7000</v>
      </c>
      <c r="I333" s="2" t="n">
        <f aca="false">G333+H333-F333</f>
        <v>7000</v>
      </c>
      <c r="L333" s="3"/>
    </row>
    <row r="334" customFormat="false" ht="15.75" hidden="false" customHeight="false" outlineLevel="0" collapsed="false">
      <c r="A334" s="0" t="n">
        <v>2025</v>
      </c>
      <c r="B334" s="0" t="s">
        <v>757</v>
      </c>
      <c r="C334" s="0" t="s">
        <v>758</v>
      </c>
      <c r="D334" s="1" t="s">
        <v>576</v>
      </c>
      <c r="E334" s="0" t="s">
        <v>759</v>
      </c>
      <c r="F334" s="0" t="n">
        <v>0</v>
      </c>
      <c r="G334" s="0" t="n">
        <v>0</v>
      </c>
      <c r="H334" s="3" t="n">
        <v>3000</v>
      </c>
      <c r="I334" s="2" t="n">
        <f aca="false">G334+H334-F334</f>
        <v>3000</v>
      </c>
    </row>
    <row r="335" customFormat="false" ht="15.75" hidden="false" customHeight="false" outlineLevel="0" collapsed="false">
      <c r="A335" s="0" t="n">
        <v>2025</v>
      </c>
      <c r="B335" s="0" t="s">
        <v>760</v>
      </c>
      <c r="C335" s="0" t="s">
        <v>761</v>
      </c>
      <c r="D335" s="1" t="s">
        <v>50</v>
      </c>
      <c r="E335" s="0" t="n">
        <v>711651041</v>
      </c>
      <c r="F335" s="3" t="n">
        <v>5000</v>
      </c>
      <c r="G335" s="0" t="n">
        <v>0</v>
      </c>
      <c r="H335" s="0" t="n">
        <v>0</v>
      </c>
      <c r="I335" s="2" t="n">
        <f aca="false">G335+H335-F335</f>
        <v>-5000</v>
      </c>
      <c r="L335" s="3"/>
    </row>
    <row r="336" customFormat="false" ht="15.75" hidden="false" customHeight="false" outlineLevel="0" collapsed="false">
      <c r="A336" s="0" t="n">
        <v>2025</v>
      </c>
      <c r="B336" s="0" t="s">
        <v>762</v>
      </c>
      <c r="C336" s="0" t="s">
        <v>763</v>
      </c>
      <c r="D336" s="1" t="s">
        <v>576</v>
      </c>
      <c r="E336" s="0" t="s">
        <v>764</v>
      </c>
      <c r="F336" s="0" t="n">
        <v>0</v>
      </c>
      <c r="G336" s="0" t="n">
        <v>0</v>
      </c>
      <c r="H336" s="3" t="n">
        <v>2500</v>
      </c>
      <c r="I336" s="2" t="n">
        <f aca="false">G336+H336-F336</f>
        <v>2500</v>
      </c>
    </row>
    <row r="337" customFormat="false" ht="15.75" hidden="false" customHeight="false" outlineLevel="0" collapsed="false">
      <c r="A337" s="0" t="n">
        <v>2025</v>
      </c>
      <c r="B337" s="0" t="s">
        <v>765</v>
      </c>
      <c r="C337" s="0" t="s">
        <v>766</v>
      </c>
      <c r="D337" s="1" t="s">
        <v>423</v>
      </c>
      <c r="E337" s="0" t="s">
        <v>594</v>
      </c>
      <c r="F337" s="0" t="n">
        <v>0</v>
      </c>
      <c r="G337" s="0" t="n">
        <v>0</v>
      </c>
      <c r="H337" s="3" t="n">
        <v>13350</v>
      </c>
      <c r="I337" s="2" t="n">
        <f aca="false">G337+H337-F337</f>
        <v>13350</v>
      </c>
    </row>
    <row r="338" customFormat="false" ht="15.75" hidden="false" customHeight="false" outlineLevel="0" collapsed="false">
      <c r="A338" s="0" t="n">
        <v>2025</v>
      </c>
      <c r="B338" s="0" t="s">
        <v>767</v>
      </c>
      <c r="C338" s="0" t="s">
        <v>768</v>
      </c>
      <c r="D338" s="1" t="s">
        <v>161</v>
      </c>
      <c r="E338" s="0" t="s">
        <v>594</v>
      </c>
      <c r="F338" s="0" t="n">
        <v>0</v>
      </c>
      <c r="G338" s="0" t="n">
        <v>0</v>
      </c>
      <c r="H338" s="3" t="n">
        <v>18000</v>
      </c>
      <c r="I338" s="2" t="n">
        <f aca="false">G338+H338-F338</f>
        <v>18000</v>
      </c>
    </row>
    <row r="339" customFormat="false" ht="15.75" hidden="false" customHeight="false" outlineLevel="0" collapsed="false">
      <c r="A339" s="0" t="n">
        <v>2025</v>
      </c>
      <c r="B339" s="0" t="s">
        <v>769</v>
      </c>
      <c r="C339" s="0" t="s">
        <v>770</v>
      </c>
      <c r="D339" s="1" t="s">
        <v>576</v>
      </c>
      <c r="E339" s="0" t="s">
        <v>771</v>
      </c>
      <c r="F339" s="0" t="n">
        <v>0</v>
      </c>
      <c r="G339" s="0" t="n">
        <v>0</v>
      </c>
      <c r="H339" s="0" t="n">
        <v>0</v>
      </c>
      <c r="I339" s="2" t="n">
        <f aca="false">G339+H339-F339</f>
        <v>0</v>
      </c>
    </row>
    <row r="340" customFormat="false" ht="15.75" hidden="false" customHeight="false" outlineLevel="0" collapsed="false">
      <c r="A340" s="0" t="n">
        <v>2025</v>
      </c>
      <c r="B340" s="0" t="s">
        <v>772</v>
      </c>
      <c r="C340" s="0" t="s">
        <v>773</v>
      </c>
      <c r="D340" s="1" t="s">
        <v>514</v>
      </c>
      <c r="E340" s="0" t="s">
        <v>774</v>
      </c>
      <c r="F340" s="0" t="n">
        <v>0</v>
      </c>
      <c r="G340" s="0" t="n">
        <v>0</v>
      </c>
      <c r="H340" s="0" t="n">
        <v>0</v>
      </c>
      <c r="I340" s="2" t="n">
        <f aca="false">G340+H340-F340</f>
        <v>0</v>
      </c>
    </row>
    <row r="341" customFormat="false" ht="15.75" hidden="false" customHeight="false" outlineLevel="0" collapsed="false">
      <c r="A341" s="0" t="n">
        <v>2025</v>
      </c>
      <c r="B341" s="0" t="s">
        <v>775</v>
      </c>
      <c r="C341" s="0" t="s">
        <v>776</v>
      </c>
      <c r="D341" s="1" t="s">
        <v>11</v>
      </c>
      <c r="E341" s="0" t="s">
        <v>777</v>
      </c>
      <c r="F341" s="0" t="n">
        <v>0</v>
      </c>
      <c r="G341" s="0" t="n">
        <v>0</v>
      </c>
      <c r="H341" s="0" t="n">
        <v>0</v>
      </c>
      <c r="I341" s="2" t="n">
        <f aca="false">G341+H341-F341</f>
        <v>0</v>
      </c>
    </row>
    <row r="342" customFormat="false" ht="15.75" hidden="false" customHeight="false" outlineLevel="0" collapsed="false">
      <c r="A342" s="0" t="n">
        <v>2025</v>
      </c>
      <c r="B342" s="0" t="s">
        <v>778</v>
      </c>
      <c r="C342" s="0" t="s">
        <v>779</v>
      </c>
      <c r="D342" s="1" t="s">
        <v>576</v>
      </c>
      <c r="E342" s="0" t="s">
        <v>780</v>
      </c>
      <c r="F342" s="0" t="n">
        <v>0</v>
      </c>
      <c r="G342" s="0" t="n">
        <v>0</v>
      </c>
      <c r="H342" s="0" t="n">
        <v>0</v>
      </c>
      <c r="I342" s="2" t="n">
        <f aca="false">G342+H342-F342</f>
        <v>0</v>
      </c>
    </row>
    <row r="343" customFormat="false" ht="15.75" hidden="false" customHeight="false" outlineLevel="0" collapsed="false">
      <c r="A343" s="0" t="n">
        <v>2025</v>
      </c>
      <c r="B343" s="0" t="s">
        <v>781</v>
      </c>
      <c r="C343" s="0" t="s">
        <v>782</v>
      </c>
      <c r="D343" s="1" t="s">
        <v>366</v>
      </c>
      <c r="E343" s="0" t="s">
        <v>783</v>
      </c>
      <c r="F343" s="0" t="n">
        <v>0</v>
      </c>
      <c r="G343" s="0" t="n">
        <v>0</v>
      </c>
      <c r="H343" s="0" t="n">
        <v>0</v>
      </c>
      <c r="I343" s="2" t="n">
        <f aca="false">G343+H343-F343</f>
        <v>0</v>
      </c>
    </row>
    <row r="344" customFormat="false" ht="15.75" hidden="false" customHeight="false" outlineLevel="0" collapsed="false">
      <c r="A344" s="0" t="n">
        <v>2025</v>
      </c>
      <c r="B344" s="0" t="s">
        <v>784</v>
      </c>
      <c r="C344" s="0" t="s">
        <v>785</v>
      </c>
      <c r="D344" s="1" t="s">
        <v>576</v>
      </c>
      <c r="E344" s="0" t="s">
        <v>786</v>
      </c>
      <c r="F344" s="0" t="n">
        <v>0</v>
      </c>
      <c r="G344" s="0" t="n">
        <v>0</v>
      </c>
      <c r="H344" s="0" t="n">
        <v>0</v>
      </c>
      <c r="I344" s="2" t="n">
        <f aca="false">G344+H344-F344</f>
        <v>0</v>
      </c>
    </row>
    <row r="345" customFormat="false" ht="15.75" hidden="false" customHeight="false" outlineLevel="0" collapsed="false">
      <c r="A345" s="0" t="n">
        <v>2025</v>
      </c>
      <c r="B345" s="0" t="s">
        <v>787</v>
      </c>
      <c r="C345" s="0" t="s">
        <v>788</v>
      </c>
      <c r="D345" s="1" t="s">
        <v>576</v>
      </c>
      <c r="E345" s="4" t="n">
        <v>7.91241255070729E+018</v>
      </c>
      <c r="F345" s="0" t="n">
        <v>500</v>
      </c>
      <c r="G345" s="0" t="n">
        <v>0</v>
      </c>
      <c r="H345" s="0" t="n">
        <v>0</v>
      </c>
      <c r="I345" s="2" t="n">
        <f aca="false">G345+H345-F345</f>
        <v>-500</v>
      </c>
    </row>
    <row r="346" customFormat="false" ht="15.75" hidden="false" customHeight="false" outlineLevel="0" collapsed="false">
      <c r="A346" s="0" t="n">
        <v>2025</v>
      </c>
      <c r="B346" s="0" t="s">
        <v>789</v>
      </c>
      <c r="C346" s="0" t="s">
        <v>790</v>
      </c>
      <c r="D346" s="1" t="s">
        <v>576</v>
      </c>
      <c r="E346" s="0" t="s">
        <v>791</v>
      </c>
      <c r="F346" s="0" t="n">
        <v>0</v>
      </c>
      <c r="G346" s="0" t="n">
        <v>0</v>
      </c>
      <c r="H346" s="0" t="n">
        <v>0</v>
      </c>
      <c r="I346" s="2" t="n">
        <f aca="false">G346+H346-F346</f>
        <v>0</v>
      </c>
    </row>
    <row r="347" customFormat="false" ht="15.75" hidden="false" customHeight="false" outlineLevel="0" collapsed="false">
      <c r="A347" s="0" t="n">
        <v>2025</v>
      </c>
      <c r="B347" s="0" t="s">
        <v>792</v>
      </c>
      <c r="C347" s="0" t="s">
        <v>793</v>
      </c>
      <c r="D347" s="1" t="s">
        <v>576</v>
      </c>
      <c r="E347" s="0" t="s">
        <v>794</v>
      </c>
      <c r="F347" s="0" t="n">
        <v>0</v>
      </c>
      <c r="G347" s="0" t="n">
        <v>0</v>
      </c>
      <c r="H347" s="0" t="n">
        <v>0</v>
      </c>
      <c r="I347" s="2" t="n">
        <f aca="false">G347+H347-F347</f>
        <v>0</v>
      </c>
    </row>
    <row r="348" customFormat="false" ht="15.75" hidden="false" customHeight="false" outlineLevel="0" collapsed="false">
      <c r="A348" s="0" t="n">
        <v>2025</v>
      </c>
      <c r="B348" s="0" t="s">
        <v>795</v>
      </c>
      <c r="C348" s="0" t="s">
        <v>796</v>
      </c>
      <c r="D348" s="1" t="s">
        <v>576</v>
      </c>
      <c r="E348" s="0" t="s">
        <v>797</v>
      </c>
      <c r="F348" s="0" t="n">
        <v>0</v>
      </c>
      <c r="G348" s="0" t="n">
        <v>0</v>
      </c>
      <c r="H348" s="0" t="n">
        <v>0</v>
      </c>
      <c r="I348" s="2" t="n">
        <f aca="false">G348+H348-F348</f>
        <v>0</v>
      </c>
    </row>
    <row r="349" customFormat="false" ht="15.75" hidden="false" customHeight="false" outlineLevel="0" collapsed="false">
      <c r="A349" s="0" t="n">
        <v>2025</v>
      </c>
      <c r="B349" s="0" t="s">
        <v>798</v>
      </c>
      <c r="C349" s="0" t="s">
        <v>799</v>
      </c>
      <c r="D349" s="1" t="s">
        <v>576</v>
      </c>
      <c r="E349" s="0" t="s">
        <v>800</v>
      </c>
      <c r="F349" s="0" t="n">
        <v>0</v>
      </c>
      <c r="G349" s="0" t="n">
        <v>0</v>
      </c>
      <c r="H349" s="3" t="n">
        <v>3900</v>
      </c>
      <c r="I349" s="2" t="n">
        <f aca="false">G349+H349-F349</f>
        <v>3900</v>
      </c>
    </row>
    <row r="350" customFormat="false" ht="15.75" hidden="false" customHeight="false" outlineLevel="0" collapsed="false">
      <c r="A350" s="0" t="n">
        <v>2025</v>
      </c>
      <c r="B350" s="0" t="s">
        <v>801</v>
      </c>
      <c r="C350" s="0" t="s">
        <v>802</v>
      </c>
      <c r="D350" s="1" t="s">
        <v>576</v>
      </c>
      <c r="E350" s="0" t="s">
        <v>803</v>
      </c>
      <c r="F350" s="0" t="n">
        <v>0</v>
      </c>
      <c r="G350" s="0" t="n">
        <v>0</v>
      </c>
      <c r="H350" s="0" t="n">
        <v>0</v>
      </c>
      <c r="I350" s="2" t="n">
        <f aca="false">G350+H350-F350</f>
        <v>0</v>
      </c>
    </row>
    <row r="351" customFormat="false" ht="15.75" hidden="false" customHeight="false" outlineLevel="0" collapsed="false">
      <c r="A351" s="0" t="n">
        <v>2025</v>
      </c>
      <c r="B351" s="0" t="s">
        <v>804</v>
      </c>
      <c r="C351" s="0" t="s">
        <v>805</v>
      </c>
      <c r="D351" s="1" t="s">
        <v>576</v>
      </c>
      <c r="E351" s="0" t="s">
        <v>806</v>
      </c>
      <c r="F351" s="0" t="n">
        <v>0</v>
      </c>
      <c r="G351" s="0" t="n">
        <v>0</v>
      </c>
      <c r="H351" s="0" t="n">
        <v>0</v>
      </c>
      <c r="I351" s="2" t="n">
        <f aca="false">G351+H351-F351</f>
        <v>0</v>
      </c>
    </row>
    <row r="352" customFormat="false" ht="15.75" hidden="false" customHeight="false" outlineLevel="0" collapsed="false">
      <c r="A352" s="0" t="n">
        <v>2025</v>
      </c>
      <c r="B352" s="0" t="s">
        <v>807</v>
      </c>
      <c r="C352" s="0" t="s">
        <v>808</v>
      </c>
      <c r="D352" s="1" t="s">
        <v>576</v>
      </c>
      <c r="E352" s="0" t="s">
        <v>809</v>
      </c>
      <c r="F352" s="0" t="n">
        <v>0</v>
      </c>
      <c r="G352" s="0" t="n">
        <v>0</v>
      </c>
      <c r="H352" s="0" t="n">
        <v>0</v>
      </c>
      <c r="I352" s="2" t="n">
        <f aca="false">G352+H352-F352</f>
        <v>0</v>
      </c>
    </row>
    <row r="353" customFormat="false" ht="15.75" hidden="false" customHeight="false" outlineLevel="0" collapsed="false">
      <c r="A353" s="0" t="n">
        <v>2025</v>
      </c>
      <c r="B353" s="0" t="s">
        <v>810</v>
      </c>
      <c r="C353" s="0" t="s">
        <v>811</v>
      </c>
      <c r="D353" s="1" t="s">
        <v>576</v>
      </c>
      <c r="E353" s="0" t="s">
        <v>812</v>
      </c>
      <c r="F353" s="0" t="n">
        <v>0</v>
      </c>
      <c r="G353" s="0" t="n">
        <v>0</v>
      </c>
      <c r="H353" s="0" t="n">
        <v>0</v>
      </c>
      <c r="I353" s="2" t="n">
        <f aca="false">G353+H353-F353</f>
        <v>0</v>
      </c>
    </row>
    <row r="354" customFormat="false" ht="15.75" hidden="false" customHeight="false" outlineLevel="0" collapsed="false">
      <c r="A354" s="0" t="n">
        <v>2025</v>
      </c>
      <c r="B354" s="0" t="s">
        <v>813</v>
      </c>
      <c r="C354" s="0" t="s">
        <v>814</v>
      </c>
      <c r="D354" s="1" t="s">
        <v>576</v>
      </c>
      <c r="E354" s="0" t="s">
        <v>815</v>
      </c>
      <c r="F354" s="0" t="n">
        <v>0</v>
      </c>
      <c r="G354" s="0" t="n">
        <v>0</v>
      </c>
      <c r="H354" s="0" t="n">
        <v>0</v>
      </c>
      <c r="I354" s="2" t="n">
        <f aca="false">G354+H354-F354</f>
        <v>0</v>
      </c>
    </row>
    <row r="355" customFormat="false" ht="15.75" hidden="false" customHeight="false" outlineLevel="0" collapsed="false">
      <c r="A355" s="0" t="n">
        <v>2025</v>
      </c>
      <c r="B355" s="0" t="s">
        <v>816</v>
      </c>
      <c r="C355" s="0" t="s">
        <v>817</v>
      </c>
      <c r="D355" s="1" t="s">
        <v>576</v>
      </c>
      <c r="E355" s="0" t="s">
        <v>818</v>
      </c>
      <c r="F355" s="0" t="n">
        <v>0</v>
      </c>
      <c r="G355" s="0" t="n">
        <v>0</v>
      </c>
      <c r="H355" s="0" t="n">
        <v>0</v>
      </c>
      <c r="I355" s="2" t="n">
        <f aca="false">G355+H355-F355</f>
        <v>0</v>
      </c>
    </row>
    <row r="356" customFormat="false" ht="15.75" hidden="false" customHeight="false" outlineLevel="0" collapsed="false">
      <c r="A356" s="0" t="n">
        <v>2025</v>
      </c>
      <c r="B356" s="0" t="s">
        <v>819</v>
      </c>
      <c r="C356" s="0" t="s">
        <v>820</v>
      </c>
      <c r="D356" s="1" t="s">
        <v>423</v>
      </c>
      <c r="E356" s="0" t="n">
        <v>707704620</v>
      </c>
      <c r="F356" s="0" t="n">
        <v>0</v>
      </c>
      <c r="G356" s="0" t="n">
        <v>0</v>
      </c>
      <c r="H356" s="0" t="n">
        <v>0</v>
      </c>
      <c r="I356" s="2" t="n">
        <f aca="false">G356+H356-F356</f>
        <v>0</v>
      </c>
    </row>
    <row r="357" customFormat="false" ht="15.75" hidden="false" customHeight="false" outlineLevel="0" collapsed="false">
      <c r="A357" s="0" t="n">
        <v>2025</v>
      </c>
      <c r="B357" s="0" t="s">
        <v>821</v>
      </c>
      <c r="C357" s="0" t="s">
        <v>822</v>
      </c>
      <c r="D357" s="1" t="s">
        <v>423</v>
      </c>
      <c r="E357" s="0" t="s">
        <v>823</v>
      </c>
      <c r="F357" s="0" t="n">
        <v>0</v>
      </c>
      <c r="G357" s="0" t="n">
        <v>0</v>
      </c>
      <c r="H357" s="0" t="n">
        <v>0</v>
      </c>
      <c r="I357" s="2" t="n">
        <f aca="false">G357+H357-F357</f>
        <v>0</v>
      </c>
    </row>
    <row r="358" customFormat="false" ht="15.75" hidden="false" customHeight="false" outlineLevel="0" collapsed="false">
      <c r="A358" s="0" t="n">
        <v>2025</v>
      </c>
      <c r="B358" s="0" t="s">
        <v>824</v>
      </c>
      <c r="C358" s="0" t="s">
        <v>825</v>
      </c>
      <c r="D358" s="1" t="s">
        <v>212</v>
      </c>
      <c r="E358" s="0" t="s">
        <v>826</v>
      </c>
      <c r="F358" s="0" t="n">
        <v>0</v>
      </c>
      <c r="G358" s="0" t="n">
        <v>0</v>
      </c>
      <c r="H358" s="0" t="n">
        <v>0</v>
      </c>
      <c r="I358" s="2" t="n">
        <f aca="false">G358+H358-F358</f>
        <v>0</v>
      </c>
    </row>
    <row r="359" customFormat="false" ht="15.75" hidden="false" customHeight="false" outlineLevel="0" collapsed="false">
      <c r="A359" s="0" t="n">
        <v>2025</v>
      </c>
      <c r="B359" s="0" t="s">
        <v>827</v>
      </c>
      <c r="C359" s="0" t="s">
        <v>828</v>
      </c>
      <c r="D359" s="1" t="s">
        <v>113</v>
      </c>
      <c r="E359" s="0" t="s">
        <v>826</v>
      </c>
      <c r="F359" s="0" t="n">
        <v>0</v>
      </c>
      <c r="G359" s="0" t="n">
        <v>0</v>
      </c>
      <c r="H359" s="0" t="n">
        <v>0</v>
      </c>
      <c r="I359" s="2" t="n">
        <f aca="false">G359+H359-F359</f>
        <v>0</v>
      </c>
    </row>
    <row r="360" customFormat="false" ht="15.75" hidden="false" customHeight="false" outlineLevel="0" collapsed="false">
      <c r="A360" s="0" t="n">
        <v>2025</v>
      </c>
      <c r="B360" s="0" t="s">
        <v>829</v>
      </c>
      <c r="C360" s="0" t="s">
        <v>830</v>
      </c>
      <c r="D360" s="1" t="s">
        <v>514</v>
      </c>
      <c r="E360" s="0" t="s">
        <v>831</v>
      </c>
      <c r="F360" s="0" t="n">
        <v>0</v>
      </c>
      <c r="G360" s="0" t="n">
        <v>0</v>
      </c>
      <c r="H360" s="0" t="n">
        <v>0</v>
      </c>
      <c r="I360" s="2" t="n">
        <f aca="false">G360+H360-F360</f>
        <v>0</v>
      </c>
    </row>
    <row r="361" customFormat="false" ht="15.75" hidden="false" customHeight="false" outlineLevel="0" collapsed="false">
      <c r="A361" s="0" t="n">
        <v>2025</v>
      </c>
      <c r="B361" s="0" t="s">
        <v>832</v>
      </c>
      <c r="C361" s="0" t="s">
        <v>833</v>
      </c>
      <c r="D361" s="1" t="s">
        <v>113</v>
      </c>
      <c r="E361" s="0" t="s">
        <v>834</v>
      </c>
      <c r="F361" s="0" t="n">
        <v>0</v>
      </c>
      <c r="G361" s="0" t="n">
        <v>0</v>
      </c>
      <c r="H361" s="3" t="n">
        <v>13000</v>
      </c>
      <c r="I361" s="2" t="n">
        <f aca="false">G361+H361-F361</f>
        <v>13000</v>
      </c>
    </row>
    <row r="362" customFormat="false" ht="15.75" hidden="false" customHeight="false" outlineLevel="0" collapsed="false">
      <c r="A362" s="0" t="n">
        <v>2024</v>
      </c>
      <c r="B362" s="0" t="s">
        <v>835</v>
      </c>
      <c r="C362" s="0" t="s">
        <v>836</v>
      </c>
      <c r="D362" s="1" t="s">
        <v>366</v>
      </c>
      <c r="E362" s="0" t="s">
        <v>837</v>
      </c>
      <c r="F362" s="0" t="n">
        <v>0</v>
      </c>
      <c r="G362" s="0" t="n">
        <v>0</v>
      </c>
      <c r="H362" s="0" t="n">
        <v>0</v>
      </c>
      <c r="I362" s="2" t="n">
        <f aca="false">G362+H362-F362</f>
        <v>0</v>
      </c>
    </row>
    <row r="363" customFormat="false" ht="15.75" hidden="false" customHeight="false" outlineLevel="0" collapsed="false">
      <c r="A363" s="0" t="n">
        <v>2025</v>
      </c>
      <c r="B363" s="0" t="s">
        <v>838</v>
      </c>
      <c r="C363" s="0" t="s">
        <v>839</v>
      </c>
      <c r="D363" s="1" t="s">
        <v>277</v>
      </c>
      <c r="E363" s="0" t="s">
        <v>840</v>
      </c>
      <c r="F363" s="0" t="n">
        <v>0</v>
      </c>
      <c r="G363" s="0" t="n">
        <v>0</v>
      </c>
      <c r="H363" s="0" t="n">
        <v>0</v>
      </c>
      <c r="I363" s="2" t="n">
        <f aca="false">G363+H363-F363</f>
        <v>0</v>
      </c>
    </row>
    <row r="364" customFormat="false" ht="15.75" hidden="false" customHeight="false" outlineLevel="0" collapsed="false">
      <c r="A364" s="0" t="n">
        <v>2025</v>
      </c>
      <c r="B364" s="0" t="s">
        <v>841</v>
      </c>
      <c r="C364" s="0" t="s">
        <v>842</v>
      </c>
      <c r="D364" s="1" t="s">
        <v>366</v>
      </c>
      <c r="E364" s="0" t="s">
        <v>843</v>
      </c>
      <c r="F364" s="0" t="n">
        <v>0</v>
      </c>
      <c r="G364" s="0" t="n">
        <v>0</v>
      </c>
      <c r="H364" s="0" t="n">
        <v>0</v>
      </c>
      <c r="I364" s="2" t="n">
        <f aca="false">G364+H364-F364</f>
        <v>0</v>
      </c>
    </row>
    <row r="365" customFormat="false" ht="15.75" hidden="false" customHeight="false" outlineLevel="0" collapsed="false">
      <c r="A365" s="0" t="n">
        <v>2025</v>
      </c>
      <c r="B365" s="0" t="s">
        <v>844</v>
      </c>
      <c r="C365" s="0" t="s">
        <v>845</v>
      </c>
      <c r="D365" s="1" t="s">
        <v>514</v>
      </c>
      <c r="E365" s="0" t="s">
        <v>843</v>
      </c>
      <c r="F365" s="0" t="n">
        <v>0</v>
      </c>
      <c r="G365" s="0" t="n">
        <v>0</v>
      </c>
      <c r="H365" s="0" t="n">
        <v>0</v>
      </c>
      <c r="I365" s="2" t="n">
        <f aca="false">G365+H365-F365</f>
        <v>0</v>
      </c>
    </row>
    <row r="366" customFormat="false" ht="15.75" hidden="false" customHeight="false" outlineLevel="0" collapsed="false">
      <c r="A366" s="0" t="n">
        <v>2025</v>
      </c>
      <c r="B366" s="0" t="s">
        <v>846</v>
      </c>
      <c r="C366" s="0" t="s">
        <v>847</v>
      </c>
      <c r="D366" s="1" t="s">
        <v>161</v>
      </c>
      <c r="E366" s="0" t="s">
        <v>848</v>
      </c>
      <c r="F366" s="0" t="n">
        <v>0</v>
      </c>
      <c r="G366" s="0" t="n">
        <v>0</v>
      </c>
      <c r="H366" s="0" t="n">
        <v>0</v>
      </c>
      <c r="I366" s="2" t="n">
        <f aca="false">G366+H366-F366</f>
        <v>0</v>
      </c>
    </row>
    <row r="367" customFormat="false" ht="15.75" hidden="false" customHeight="false" outlineLevel="0" collapsed="false">
      <c r="A367" s="0" t="n">
        <v>2025</v>
      </c>
      <c r="B367" s="0" t="s">
        <v>849</v>
      </c>
      <c r="C367" s="0" t="s">
        <v>850</v>
      </c>
      <c r="D367" s="1" t="s">
        <v>576</v>
      </c>
      <c r="E367" s="0" t="s">
        <v>848</v>
      </c>
      <c r="F367" s="0" t="n">
        <v>0</v>
      </c>
      <c r="G367" s="0" t="n">
        <v>0</v>
      </c>
      <c r="H367" s="0" t="n">
        <v>0</v>
      </c>
      <c r="I367" s="2" t="n">
        <f aca="false">G367+H367-F367</f>
        <v>0</v>
      </c>
    </row>
    <row r="368" customFormat="false" ht="15.75" hidden="false" customHeight="false" outlineLevel="0" collapsed="false">
      <c r="A368" s="0" t="n">
        <v>2025</v>
      </c>
      <c r="B368" s="0" t="s">
        <v>851</v>
      </c>
      <c r="C368" s="0" t="s">
        <v>852</v>
      </c>
      <c r="D368" s="1" t="s">
        <v>161</v>
      </c>
      <c r="E368" s="0" t="s">
        <v>853</v>
      </c>
      <c r="F368" s="0" t="n">
        <v>0</v>
      </c>
      <c r="G368" s="0" t="n">
        <v>0</v>
      </c>
      <c r="H368" s="0" t="n">
        <v>0</v>
      </c>
      <c r="I368" s="2" t="n">
        <f aca="false">G368+H368-F368</f>
        <v>0</v>
      </c>
    </row>
    <row r="369" customFormat="false" ht="15.75" hidden="false" customHeight="false" outlineLevel="0" collapsed="false">
      <c r="A369" s="0" t="n">
        <v>2025</v>
      </c>
      <c r="B369" s="0" t="s">
        <v>854</v>
      </c>
      <c r="C369" s="0" t="s">
        <v>855</v>
      </c>
      <c r="D369" s="1" t="s">
        <v>576</v>
      </c>
      <c r="E369" s="0" t="s">
        <v>856</v>
      </c>
      <c r="F369" s="0" t="n">
        <v>0</v>
      </c>
      <c r="G369" s="0" t="n">
        <v>0</v>
      </c>
      <c r="H369" s="0" t="n">
        <v>0</v>
      </c>
      <c r="I369" s="2" t="n">
        <f aca="false">G369+H369-F369</f>
        <v>0</v>
      </c>
    </row>
    <row r="370" customFormat="false" ht="15.75" hidden="false" customHeight="false" outlineLevel="0" collapsed="false">
      <c r="A370" s="0" t="n">
        <v>2025</v>
      </c>
      <c r="B370" s="0" t="s">
        <v>857</v>
      </c>
      <c r="C370" s="0" t="s">
        <v>858</v>
      </c>
      <c r="D370" s="1" t="s">
        <v>277</v>
      </c>
      <c r="E370" s="0" t="s">
        <v>834</v>
      </c>
      <c r="F370" s="0" t="n">
        <v>0</v>
      </c>
      <c r="G370" s="0" t="n">
        <v>0</v>
      </c>
      <c r="H370" s="0" t="n">
        <v>0</v>
      </c>
      <c r="I370" s="2" t="n">
        <f aca="false">G370+H370-F370</f>
        <v>0</v>
      </c>
    </row>
    <row r="371" customFormat="false" ht="15.75" hidden="false" customHeight="false" outlineLevel="0" collapsed="false">
      <c r="A371" s="0" t="n">
        <v>2025</v>
      </c>
      <c r="B371" s="0" t="s">
        <v>859</v>
      </c>
      <c r="C371" s="0" t="s">
        <v>860</v>
      </c>
      <c r="D371" s="1" t="s">
        <v>576</v>
      </c>
      <c r="E371" s="4" t="n">
        <v>7.14818471071562E+018</v>
      </c>
      <c r="F371" s="0" t="n">
        <v>0</v>
      </c>
      <c r="G371" s="0" t="n">
        <v>0</v>
      </c>
      <c r="H371" s="0" t="n">
        <v>0</v>
      </c>
      <c r="I371" s="2" t="n">
        <f aca="false">G371+H371-F371</f>
        <v>0</v>
      </c>
    </row>
    <row r="372" customFormat="false" ht="15.75" hidden="false" customHeight="false" outlineLevel="0" collapsed="false">
      <c r="A372" s="0" t="n">
        <v>2025</v>
      </c>
      <c r="B372" s="0" t="s">
        <v>861</v>
      </c>
      <c r="C372" s="0" t="s">
        <v>862</v>
      </c>
      <c r="D372" s="1" t="s">
        <v>277</v>
      </c>
      <c r="E372" s="4" t="n">
        <v>7.14818471071562E+018</v>
      </c>
      <c r="F372" s="0" t="n">
        <v>0</v>
      </c>
      <c r="G372" s="0" t="n">
        <v>0</v>
      </c>
      <c r="H372" s="0" t="n">
        <v>0</v>
      </c>
      <c r="I372" s="2" t="n">
        <f aca="false">G372+H372-F372</f>
        <v>0</v>
      </c>
    </row>
    <row r="373" customFormat="false" ht="15.75" hidden="false" customHeight="false" outlineLevel="0" collapsed="false">
      <c r="A373" s="0" t="n">
        <v>2025</v>
      </c>
      <c r="B373" s="0" t="s">
        <v>863</v>
      </c>
      <c r="C373" s="0" t="s">
        <v>864</v>
      </c>
      <c r="D373" s="1" t="s">
        <v>576</v>
      </c>
      <c r="E373" s="4" t="n">
        <v>7.22515493072885E+018</v>
      </c>
      <c r="F373" s="0" t="n">
        <v>0</v>
      </c>
      <c r="G373" s="0" t="n">
        <v>0</v>
      </c>
      <c r="H373" s="0" t="n">
        <v>0</v>
      </c>
      <c r="I373" s="2" t="n">
        <f aca="false">G373+H373-F373</f>
        <v>0</v>
      </c>
    </row>
    <row r="374" customFormat="false" ht="15.75" hidden="false" customHeight="false" outlineLevel="0" collapsed="false">
      <c r="A374" s="0" t="n">
        <v>2025</v>
      </c>
      <c r="B374" s="0" t="s">
        <v>865</v>
      </c>
      <c r="C374" s="0" t="s">
        <v>866</v>
      </c>
      <c r="D374" s="1" t="s">
        <v>576</v>
      </c>
      <c r="E374" s="4" t="n">
        <v>7.2932623007126E+018</v>
      </c>
      <c r="F374" s="0" t="n">
        <v>0</v>
      </c>
      <c r="G374" s="0" t="n">
        <v>0</v>
      </c>
      <c r="H374" s="0" t="n">
        <v>0</v>
      </c>
      <c r="I374" s="2" t="n">
        <f aca="false">G374+H374-F374</f>
        <v>0</v>
      </c>
    </row>
    <row r="375" customFormat="false" ht="15.75" hidden="false" customHeight="false" outlineLevel="0" collapsed="false">
      <c r="A375" s="0" t="n">
        <v>2025</v>
      </c>
      <c r="B375" s="0" t="s">
        <v>867</v>
      </c>
      <c r="C375" s="0" t="s">
        <v>868</v>
      </c>
      <c r="D375" s="1" t="s">
        <v>366</v>
      </c>
      <c r="E375" s="0" t="s">
        <v>869</v>
      </c>
      <c r="F375" s="0" t="n">
        <v>3</v>
      </c>
      <c r="G375" s="0" t="n">
        <v>0</v>
      </c>
      <c r="H375" s="0" t="n">
        <v>0</v>
      </c>
      <c r="I375" s="2" t="n">
        <f aca="false">G375+H375-F375</f>
        <v>-3</v>
      </c>
    </row>
    <row r="376" customFormat="false" ht="15.75" hidden="false" customHeight="false" outlineLevel="0" collapsed="false">
      <c r="A376" s="0" t="n">
        <v>2025</v>
      </c>
      <c r="B376" s="0" t="s">
        <v>870</v>
      </c>
      <c r="C376" s="0" t="s">
        <v>871</v>
      </c>
      <c r="D376" s="1" t="s">
        <v>161</v>
      </c>
      <c r="E376" s="0" t="s">
        <v>872</v>
      </c>
      <c r="F376" s="0" t="n">
        <v>0</v>
      </c>
      <c r="G376" s="0" t="n">
        <v>0</v>
      </c>
      <c r="H376" s="0" t="n">
        <v>0</v>
      </c>
      <c r="I376" s="2" t="n">
        <f aca="false">G376+H376-F376</f>
        <v>0</v>
      </c>
    </row>
    <row r="377" customFormat="false" ht="15.75" hidden="false" customHeight="false" outlineLevel="0" collapsed="false">
      <c r="A377" s="0" t="n">
        <v>2025</v>
      </c>
      <c r="B377" s="0" t="s">
        <v>873</v>
      </c>
      <c r="C377" s="0" t="s">
        <v>874</v>
      </c>
      <c r="D377" s="1" t="s">
        <v>423</v>
      </c>
      <c r="E377" s="0" t="s">
        <v>875</v>
      </c>
      <c r="F377" s="0" t="n">
        <v>0</v>
      </c>
      <c r="G377" s="0" t="n">
        <v>0</v>
      </c>
      <c r="H377" s="0" t="n">
        <v>0</v>
      </c>
      <c r="I377" s="2" t="n">
        <f aca="false">G377+H377-F377</f>
        <v>0</v>
      </c>
    </row>
    <row r="378" customFormat="false" ht="15.75" hidden="false" customHeight="false" outlineLevel="0" collapsed="false">
      <c r="A378" s="0" t="n">
        <v>2025</v>
      </c>
      <c r="B378" s="0" t="s">
        <v>876</v>
      </c>
      <c r="C378" s="0" t="s">
        <v>877</v>
      </c>
      <c r="D378" s="1" t="s">
        <v>878</v>
      </c>
      <c r="E378" s="0" t="s">
        <v>879</v>
      </c>
      <c r="F378" s="0" t="n">
        <v>0</v>
      </c>
      <c r="G378" s="0" t="n">
        <v>0</v>
      </c>
      <c r="H378" s="0" t="n">
        <v>0</v>
      </c>
      <c r="I378" s="2" t="n">
        <f aca="false">G378+H378-F378</f>
        <v>0</v>
      </c>
    </row>
    <row r="379" customFormat="false" ht="15.75" hidden="false" customHeight="false" outlineLevel="0" collapsed="false">
      <c r="A379" s="0" t="n">
        <v>2025</v>
      </c>
      <c r="B379" s="0" t="s">
        <v>880</v>
      </c>
      <c r="C379" s="0" t="s">
        <v>881</v>
      </c>
      <c r="D379" s="1" t="s">
        <v>277</v>
      </c>
      <c r="E379" s="0" t="n">
        <v>713681107</v>
      </c>
      <c r="F379" s="0" t="n">
        <v>0</v>
      </c>
      <c r="G379" s="0" t="n">
        <v>0</v>
      </c>
      <c r="H379" s="3" t="n">
        <v>18500</v>
      </c>
      <c r="I379" s="2" t="n">
        <f aca="false">G379+H379-F379</f>
        <v>18500</v>
      </c>
    </row>
    <row r="380" customFormat="false" ht="15.75" hidden="false" customHeight="false" outlineLevel="0" collapsed="false">
      <c r="A380" s="0" t="n">
        <v>2025</v>
      </c>
      <c r="B380" s="0" t="s">
        <v>882</v>
      </c>
      <c r="C380" s="0" t="s">
        <v>883</v>
      </c>
      <c r="D380" s="1" t="s">
        <v>113</v>
      </c>
      <c r="E380" s="0" t="s">
        <v>884</v>
      </c>
      <c r="F380" s="0" t="n">
        <v>0</v>
      </c>
      <c r="G380" s="0" t="n">
        <v>0</v>
      </c>
      <c r="H380" s="0" t="n">
        <v>0</v>
      </c>
      <c r="I380" s="2" t="n">
        <f aca="false">G380+H380-F380</f>
        <v>0</v>
      </c>
    </row>
    <row r="381" customFormat="false" ht="15.75" hidden="false" customHeight="false" outlineLevel="0" collapsed="false">
      <c r="A381" s="0" t="n">
        <v>2025</v>
      </c>
      <c r="B381" s="0" t="s">
        <v>885</v>
      </c>
      <c r="C381" s="0" t="s">
        <v>886</v>
      </c>
      <c r="D381" s="1" t="s">
        <v>878</v>
      </c>
      <c r="E381" s="4" t="n">
        <v>7.22840300072746E+018</v>
      </c>
      <c r="F381" s="0" t="n">
        <v>0</v>
      </c>
      <c r="G381" s="0" t="n">
        <v>0</v>
      </c>
      <c r="H381" s="0" t="n">
        <v>0</v>
      </c>
      <c r="I381" s="2" t="n">
        <f aca="false">G381+H381-F381</f>
        <v>0</v>
      </c>
    </row>
    <row r="382" customFormat="false" ht="15.75" hidden="false" customHeight="false" outlineLevel="0" collapsed="false">
      <c r="A382" s="0" t="n">
        <v>2025</v>
      </c>
      <c r="B382" s="0" t="s">
        <v>887</v>
      </c>
      <c r="C382" s="0" t="s">
        <v>888</v>
      </c>
      <c r="D382" s="1" t="s">
        <v>212</v>
      </c>
      <c r="E382" s="4" t="n">
        <v>7.16474329071259E+018</v>
      </c>
      <c r="F382" s="0" t="n">
        <v>0</v>
      </c>
      <c r="G382" s="0" t="n">
        <v>0</v>
      </c>
      <c r="H382" s="0" t="n">
        <v>0</v>
      </c>
      <c r="I382" s="2" t="n">
        <f aca="false">G382+H382-F382</f>
        <v>0</v>
      </c>
    </row>
    <row r="383" customFormat="false" ht="15.75" hidden="false" customHeight="false" outlineLevel="0" collapsed="false">
      <c r="A383" s="0" t="n">
        <v>2025</v>
      </c>
      <c r="B383" s="0" t="s">
        <v>889</v>
      </c>
      <c r="C383" s="0" t="s">
        <v>890</v>
      </c>
      <c r="D383" s="1" t="s">
        <v>878</v>
      </c>
      <c r="E383" s="4" t="n">
        <v>7.25778468072713E+018</v>
      </c>
      <c r="F383" s="0" t="n">
        <v>0</v>
      </c>
      <c r="G383" s="0" t="n">
        <v>0</v>
      </c>
      <c r="H383" s="0" t="n">
        <v>100</v>
      </c>
      <c r="I383" s="2" t="n">
        <f aca="false">G383+H383-F383</f>
        <v>100</v>
      </c>
    </row>
    <row r="384" customFormat="false" ht="15.75" hidden="false" customHeight="false" outlineLevel="0" collapsed="false">
      <c r="A384" s="0" t="n">
        <v>2025</v>
      </c>
      <c r="B384" s="0" t="s">
        <v>891</v>
      </c>
      <c r="C384" s="0" t="s">
        <v>892</v>
      </c>
      <c r="D384" s="1" t="s">
        <v>514</v>
      </c>
      <c r="E384" s="4" t="n">
        <v>7.20295816070286E+038</v>
      </c>
      <c r="F384" s="0" t="n">
        <v>0</v>
      </c>
      <c r="G384" s="0" t="n">
        <v>0</v>
      </c>
      <c r="H384" s="0" t="n">
        <v>0</v>
      </c>
      <c r="I384" s="2" t="n">
        <f aca="false">G384+H384-F384</f>
        <v>0</v>
      </c>
    </row>
    <row r="385" customFormat="false" ht="15.75" hidden="false" customHeight="false" outlineLevel="0" collapsed="false">
      <c r="A385" s="0" t="n">
        <v>2025</v>
      </c>
      <c r="B385" s="0" t="s">
        <v>893</v>
      </c>
      <c r="C385" s="0" t="s">
        <v>894</v>
      </c>
      <c r="D385" s="1" t="s">
        <v>878</v>
      </c>
      <c r="E385" s="4" t="n">
        <v>7.4009639107456E+018</v>
      </c>
      <c r="F385" s="0" t="n">
        <v>0</v>
      </c>
      <c r="G385" s="0" t="n">
        <v>0</v>
      </c>
      <c r="H385" s="0" t="n">
        <v>0</v>
      </c>
      <c r="I385" s="2" t="n">
        <f aca="false">G385+H385-F385</f>
        <v>0</v>
      </c>
    </row>
    <row r="386" customFormat="false" ht="15.75" hidden="false" customHeight="false" outlineLevel="0" collapsed="false">
      <c r="A386" s="0" t="n">
        <v>2025</v>
      </c>
      <c r="B386" s="0" t="s">
        <v>895</v>
      </c>
      <c r="C386" s="0" t="s">
        <v>896</v>
      </c>
      <c r="D386" s="1" t="s">
        <v>878</v>
      </c>
      <c r="E386" s="4" t="n">
        <v>7.15684612011291E+018</v>
      </c>
      <c r="F386" s="0" t="n">
        <v>0</v>
      </c>
      <c r="G386" s="0" t="n">
        <v>0</v>
      </c>
      <c r="H386" s="0" t="n">
        <v>0</v>
      </c>
      <c r="I386" s="2" t="n">
        <f aca="false">G386+H386-F386</f>
        <v>0</v>
      </c>
    </row>
    <row r="387" customFormat="false" ht="15.75" hidden="false" customHeight="false" outlineLevel="0" collapsed="false">
      <c r="A387" s="0" t="n">
        <v>2025</v>
      </c>
      <c r="B387" s="0" t="s">
        <v>897</v>
      </c>
      <c r="C387" s="0" t="s">
        <v>898</v>
      </c>
      <c r="D387" s="1" t="s">
        <v>11</v>
      </c>
      <c r="E387" s="0" t="s">
        <v>899</v>
      </c>
      <c r="F387" s="0" t="n">
        <v>0</v>
      </c>
      <c r="G387" s="0" t="n">
        <v>0</v>
      </c>
      <c r="H387" s="0" t="n">
        <v>0</v>
      </c>
      <c r="I387" s="2" t="n">
        <f aca="false">G387+H387-F387</f>
        <v>0</v>
      </c>
    </row>
    <row r="388" customFormat="false" ht="15.75" hidden="false" customHeight="false" outlineLevel="0" collapsed="false">
      <c r="A388" s="0" t="n">
        <v>2025</v>
      </c>
      <c r="B388" s="0" t="s">
        <v>900</v>
      </c>
      <c r="C388" s="0" t="s">
        <v>901</v>
      </c>
      <c r="D388" s="1" t="s">
        <v>277</v>
      </c>
      <c r="E388" s="4" t="n">
        <v>7.25102211072362E+018</v>
      </c>
      <c r="F388" s="0" t="n">
        <v>0</v>
      </c>
      <c r="G388" s="0" t="n">
        <v>0</v>
      </c>
      <c r="H388" s="0" t="n">
        <v>0</v>
      </c>
      <c r="I388" s="2" t="n">
        <f aca="false">G388+H388-F388</f>
        <v>0</v>
      </c>
    </row>
    <row r="389" customFormat="false" ht="15.75" hidden="false" customHeight="false" outlineLevel="0" collapsed="false">
      <c r="A389" s="0" t="n">
        <v>2025</v>
      </c>
      <c r="B389" s="0" t="s">
        <v>902</v>
      </c>
      <c r="C389" s="0" t="s">
        <v>903</v>
      </c>
      <c r="D389" s="1" t="s">
        <v>878</v>
      </c>
      <c r="E389" s="4" t="n">
        <v>7.25102211072362E+018</v>
      </c>
      <c r="F389" s="0" t="n">
        <v>0</v>
      </c>
      <c r="G389" s="0" t="n">
        <v>0</v>
      </c>
      <c r="H389" s="0" t="n">
        <v>0</v>
      </c>
      <c r="I389" s="2" t="n">
        <f aca="false">G389+H389-F389</f>
        <v>0</v>
      </c>
    </row>
    <row r="390" customFormat="false" ht="15.75" hidden="false" customHeight="false" outlineLevel="0" collapsed="false">
      <c r="A390" s="0" t="n">
        <v>2025</v>
      </c>
      <c r="B390" s="0" t="s">
        <v>904</v>
      </c>
      <c r="C390" s="0" t="s">
        <v>905</v>
      </c>
      <c r="D390" s="1" t="s">
        <v>423</v>
      </c>
      <c r="E390" s="0" t="n">
        <v>700775554</v>
      </c>
      <c r="F390" s="0" t="n">
        <v>0</v>
      </c>
      <c r="G390" s="0" t="n">
        <v>0</v>
      </c>
      <c r="H390" s="0" t="n">
        <v>0</v>
      </c>
      <c r="I390" s="2" t="n">
        <f aca="false">G390+H390-F390</f>
        <v>0</v>
      </c>
    </row>
    <row r="391" customFormat="false" ht="15.75" hidden="false" customHeight="false" outlineLevel="0" collapsed="false">
      <c r="A391" s="0" t="n">
        <v>2025</v>
      </c>
      <c r="B391" s="0" t="s">
        <v>906</v>
      </c>
      <c r="C391" s="0" t="s">
        <v>907</v>
      </c>
      <c r="D391" s="1" t="s">
        <v>212</v>
      </c>
      <c r="E391" s="4" t="n">
        <v>7.02090896070263E+018</v>
      </c>
      <c r="F391" s="0" t="n">
        <f aca="false">12500</f>
        <v>12500</v>
      </c>
      <c r="G391" s="0" t="n">
        <v>0</v>
      </c>
      <c r="H391" s="0" t="n">
        <v>0</v>
      </c>
      <c r="I391" s="2" t="n">
        <f aca="false">G391+H391-F391</f>
        <v>-12500</v>
      </c>
    </row>
    <row r="392" customFormat="false" ht="15.75" hidden="false" customHeight="false" outlineLevel="0" collapsed="false">
      <c r="A392" s="0" t="n">
        <v>2025</v>
      </c>
      <c r="B392" s="0" t="s">
        <v>908</v>
      </c>
      <c r="C392" s="0" t="s">
        <v>909</v>
      </c>
      <c r="D392" s="1" t="s">
        <v>277</v>
      </c>
      <c r="E392" s="4" t="n">
        <v>7.05171882072734E+018</v>
      </c>
      <c r="F392" s="0" t="n">
        <v>0</v>
      </c>
      <c r="G392" s="0" t="n">
        <v>0</v>
      </c>
      <c r="H392" s="0" t="n">
        <v>0</v>
      </c>
      <c r="I392" s="2" t="n">
        <f aca="false">G392+H392-F392</f>
        <v>0</v>
      </c>
    </row>
    <row r="393" customFormat="false" ht="15.75" hidden="false" customHeight="false" outlineLevel="0" collapsed="false">
      <c r="A393" s="0" t="n">
        <v>2025</v>
      </c>
      <c r="B393" s="0" t="s">
        <v>910</v>
      </c>
      <c r="C393" s="0" t="s">
        <v>911</v>
      </c>
      <c r="D393" s="1" t="s">
        <v>423</v>
      </c>
      <c r="E393" s="4" t="n">
        <v>7.43538828072116E+018</v>
      </c>
      <c r="F393" s="0" t="n">
        <v>0</v>
      </c>
      <c r="G393" s="0" t="n">
        <v>0</v>
      </c>
      <c r="H393" s="0" t="n">
        <v>0</v>
      </c>
      <c r="I393" s="2" t="n">
        <f aca="false">G393+H393-F393</f>
        <v>0</v>
      </c>
    </row>
    <row r="394" customFormat="false" ht="15.75" hidden="false" customHeight="false" outlineLevel="0" collapsed="false">
      <c r="A394" s="0" t="n">
        <v>2025</v>
      </c>
      <c r="B394" s="0" t="s">
        <v>912</v>
      </c>
      <c r="C394" s="0" t="s">
        <v>913</v>
      </c>
      <c r="D394" s="1" t="s">
        <v>277</v>
      </c>
      <c r="E394" s="4" t="n">
        <v>7.22151131075225E+018</v>
      </c>
      <c r="F394" s="0" t="n">
        <v>0</v>
      </c>
      <c r="G394" s="0" t="n">
        <v>0</v>
      </c>
      <c r="H394" s="3" t="n">
        <v>28000</v>
      </c>
      <c r="I394" s="2" t="n">
        <f aca="false">G394+H394-F394</f>
        <v>28000</v>
      </c>
    </row>
    <row r="395" customFormat="false" ht="15.75" hidden="false" customHeight="false" outlineLevel="0" collapsed="false">
      <c r="A395" s="0" t="n">
        <v>2025</v>
      </c>
      <c r="B395" s="0" t="s">
        <v>914</v>
      </c>
      <c r="C395" s="0" t="s">
        <v>915</v>
      </c>
      <c r="D395" s="1" t="s">
        <v>576</v>
      </c>
      <c r="E395" s="4" t="n">
        <v>7.18683954072625E+018</v>
      </c>
      <c r="F395" s="0" t="n">
        <v>0</v>
      </c>
      <c r="G395" s="0" t="n">
        <v>0</v>
      </c>
      <c r="H395" s="3" t="n">
        <v>1000</v>
      </c>
      <c r="I395" s="2" t="n">
        <f aca="false">G395+H395-F395</f>
        <v>1000</v>
      </c>
    </row>
    <row r="396" customFormat="false" ht="15.75" hidden="false" customHeight="false" outlineLevel="0" collapsed="false">
      <c r="A396" s="0" t="n">
        <v>2025</v>
      </c>
      <c r="B396" s="0" t="s">
        <v>916</v>
      </c>
      <c r="C396" s="0" t="s">
        <v>917</v>
      </c>
      <c r="D396" s="1" t="s">
        <v>277</v>
      </c>
      <c r="E396" s="4" t="n">
        <v>7.20249891072744E+018</v>
      </c>
      <c r="F396" s="0" t="n">
        <v>0</v>
      </c>
      <c r="G396" s="0" t="n">
        <v>0</v>
      </c>
      <c r="H396" s="0" t="n">
        <v>0</v>
      </c>
      <c r="I396" s="2" t="n">
        <f aca="false">G396+H396-F396</f>
        <v>0</v>
      </c>
    </row>
    <row r="397" customFormat="false" ht="15.75" hidden="false" customHeight="false" outlineLevel="0" collapsed="false">
      <c r="A397" s="0" t="n">
        <v>2025</v>
      </c>
      <c r="B397" s="0" t="s">
        <v>918</v>
      </c>
      <c r="C397" s="0" t="s">
        <v>919</v>
      </c>
      <c r="D397" s="1" t="s">
        <v>366</v>
      </c>
      <c r="E397" s="4" t="n">
        <v>7.22240923072754E+018</v>
      </c>
      <c r="F397" s="0" t="n">
        <v>0</v>
      </c>
      <c r="G397" s="0" t="n">
        <v>0</v>
      </c>
      <c r="H397" s="0" t="n">
        <v>0</v>
      </c>
      <c r="I397" s="2" t="n">
        <f aca="false">G397+H397-F397</f>
        <v>0</v>
      </c>
    </row>
    <row r="398" customFormat="false" ht="15.75" hidden="false" customHeight="false" outlineLevel="0" collapsed="false">
      <c r="A398" s="0" t="n">
        <v>2025</v>
      </c>
      <c r="B398" s="0" t="s">
        <v>920</v>
      </c>
      <c r="C398" s="0" t="s">
        <v>921</v>
      </c>
      <c r="D398" s="1" t="s">
        <v>423</v>
      </c>
      <c r="E398" s="4" t="n">
        <v>7.23291682072847E+018</v>
      </c>
      <c r="F398" s="0" t="n">
        <v>0</v>
      </c>
      <c r="G398" s="0" t="n">
        <v>0</v>
      </c>
      <c r="H398" s="0" t="n">
        <v>0</v>
      </c>
      <c r="I398" s="2" t="n">
        <f aca="false">G398+H398-F398</f>
        <v>0</v>
      </c>
    </row>
    <row r="399" customFormat="false" ht="15.75" hidden="false" customHeight="false" outlineLevel="0" collapsed="false">
      <c r="A399" s="0" t="n">
        <v>2025</v>
      </c>
      <c r="B399" s="0" t="s">
        <v>922</v>
      </c>
      <c r="C399" s="0" t="s">
        <v>923</v>
      </c>
      <c r="D399" s="1" t="s">
        <v>366</v>
      </c>
      <c r="E399" s="4" t="n">
        <v>7.40061920071917E+018</v>
      </c>
      <c r="F399" s="0" t="n">
        <v>0</v>
      </c>
      <c r="G399" s="0" t="n">
        <v>0</v>
      </c>
      <c r="H399" s="0" t="n">
        <v>0</v>
      </c>
      <c r="I399" s="2" t="n">
        <f aca="false">G399+H399-F399</f>
        <v>0</v>
      </c>
    </row>
    <row r="400" customFormat="false" ht="15.75" hidden="false" customHeight="false" outlineLevel="0" collapsed="false">
      <c r="A400" s="0" t="n">
        <v>2025</v>
      </c>
      <c r="B400" s="0" t="s">
        <v>924</v>
      </c>
      <c r="C400" s="0" t="s">
        <v>925</v>
      </c>
      <c r="D400" s="1" t="s">
        <v>366</v>
      </c>
      <c r="E400" s="0" t="n">
        <v>728854284</v>
      </c>
      <c r="F400" s="0" t="n">
        <v>0</v>
      </c>
      <c r="G400" s="0" t="n">
        <v>0</v>
      </c>
      <c r="H400" s="0" t="n">
        <v>0</v>
      </c>
      <c r="I400" s="2" t="n">
        <f aca="false">G400+H400-F400</f>
        <v>0</v>
      </c>
    </row>
    <row r="401" customFormat="false" ht="15.75" hidden="false" customHeight="false" outlineLevel="0" collapsed="false">
      <c r="A401" s="0" t="n">
        <v>2025</v>
      </c>
      <c r="B401" s="0" t="s">
        <v>926</v>
      </c>
      <c r="C401" s="0" t="s">
        <v>927</v>
      </c>
      <c r="D401" s="1" t="s">
        <v>878</v>
      </c>
      <c r="E401" s="0" t="s">
        <v>928</v>
      </c>
      <c r="F401" s="0" t="n">
        <v>0</v>
      </c>
      <c r="G401" s="0" t="n">
        <v>0</v>
      </c>
      <c r="H401" s="0" t="n">
        <v>0</v>
      </c>
      <c r="I401" s="2" t="n">
        <f aca="false">G401+H401-F401</f>
        <v>0</v>
      </c>
    </row>
    <row r="402" customFormat="false" ht="15.75" hidden="false" customHeight="false" outlineLevel="0" collapsed="false">
      <c r="A402" s="0" t="n">
        <v>2025</v>
      </c>
      <c r="B402" s="0" t="s">
        <v>929</v>
      </c>
      <c r="C402" s="0" t="s">
        <v>930</v>
      </c>
      <c r="D402" s="1" t="s">
        <v>423</v>
      </c>
      <c r="E402" s="0" t="s">
        <v>931</v>
      </c>
      <c r="F402" s="0" t="n">
        <v>0</v>
      </c>
      <c r="G402" s="0" t="n">
        <v>0</v>
      </c>
      <c r="H402" s="0" t="n">
        <v>0</v>
      </c>
      <c r="I402" s="2" t="n">
        <f aca="false">G402+H402-F402</f>
        <v>0</v>
      </c>
    </row>
    <row r="403" customFormat="false" ht="15.75" hidden="false" customHeight="false" outlineLevel="0" collapsed="false">
      <c r="A403" s="0" t="n">
        <v>2025</v>
      </c>
      <c r="B403" s="0" t="s">
        <v>932</v>
      </c>
      <c r="C403" s="0" t="s">
        <v>933</v>
      </c>
      <c r="D403" s="1" t="s">
        <v>878</v>
      </c>
      <c r="E403" s="0" t="s">
        <v>934</v>
      </c>
      <c r="F403" s="0" t="n">
        <v>0</v>
      </c>
      <c r="G403" s="0" t="n">
        <v>0</v>
      </c>
      <c r="H403" s="3" t="n">
        <v>2000</v>
      </c>
      <c r="I403" s="2" t="n">
        <f aca="false">G403+H403-F403</f>
        <v>2000</v>
      </c>
    </row>
    <row r="404" customFormat="false" ht="15.75" hidden="false" customHeight="false" outlineLevel="0" collapsed="false">
      <c r="A404" s="0" t="n">
        <v>2025</v>
      </c>
      <c r="B404" s="0" t="s">
        <v>935</v>
      </c>
      <c r="C404" s="0" t="s">
        <v>936</v>
      </c>
      <c r="D404" s="1" t="s">
        <v>878</v>
      </c>
      <c r="E404" s="0" t="s">
        <v>937</v>
      </c>
      <c r="F404" s="0" t="n">
        <v>0</v>
      </c>
      <c r="G404" s="0" t="n">
        <v>0</v>
      </c>
      <c r="H404" s="3" t="n">
        <v>8500</v>
      </c>
      <c r="I404" s="2" t="n">
        <f aca="false">G404+H404-F404</f>
        <v>8500</v>
      </c>
    </row>
    <row r="405" customFormat="false" ht="15.75" hidden="false" customHeight="false" outlineLevel="0" collapsed="false">
      <c r="A405" s="0" t="n">
        <v>2025</v>
      </c>
      <c r="B405" s="0" t="s">
        <v>938</v>
      </c>
      <c r="C405" s="0" t="s">
        <v>939</v>
      </c>
      <c r="D405" s="1" t="s">
        <v>366</v>
      </c>
      <c r="E405" s="0" t="s">
        <v>940</v>
      </c>
      <c r="F405" s="0" t="n">
        <v>2900</v>
      </c>
      <c r="G405" s="0" t="n">
        <v>0</v>
      </c>
      <c r="H405" s="0" t="n">
        <v>0</v>
      </c>
      <c r="I405" s="2" t="n">
        <f aca="false">G405+H405-F405</f>
        <v>-2900</v>
      </c>
    </row>
    <row r="406" customFormat="false" ht="15.75" hidden="false" customHeight="false" outlineLevel="0" collapsed="false">
      <c r="A406" s="0" t="n">
        <v>2025</v>
      </c>
      <c r="B406" s="0" t="s">
        <v>941</v>
      </c>
      <c r="C406" s="0" t="s">
        <v>942</v>
      </c>
      <c r="D406" s="1" t="s">
        <v>878</v>
      </c>
      <c r="F406" s="0" t="n">
        <v>0</v>
      </c>
      <c r="G406" s="0" t="n">
        <v>0</v>
      </c>
      <c r="H406" s="0" t="n">
        <v>0</v>
      </c>
      <c r="I406" s="2" t="n">
        <f aca="false">G406+H406-F406</f>
        <v>0</v>
      </c>
    </row>
    <row r="407" customFormat="false" ht="15.75" hidden="false" customHeight="false" outlineLevel="0" collapsed="false">
      <c r="A407" s="0" t="n">
        <v>2025</v>
      </c>
      <c r="B407" s="0" t="s">
        <v>943</v>
      </c>
      <c r="C407" s="0" t="s">
        <v>944</v>
      </c>
      <c r="D407" s="1" t="s">
        <v>878</v>
      </c>
      <c r="E407" s="0" t="n">
        <v>720412241</v>
      </c>
      <c r="F407" s="0" t="n">
        <v>0</v>
      </c>
      <c r="G407" s="0" t="n">
        <v>0</v>
      </c>
      <c r="H407" s="0" t="n">
        <v>0</v>
      </c>
      <c r="I407" s="2" t="n">
        <f aca="false">G407+H407-F407</f>
        <v>0</v>
      </c>
    </row>
    <row r="408" customFormat="false" ht="15.75" hidden="false" customHeight="false" outlineLevel="0" collapsed="false">
      <c r="A408" s="0" t="n">
        <v>2025</v>
      </c>
      <c r="B408" s="0" t="s">
        <v>945</v>
      </c>
      <c r="C408" s="0" t="s">
        <v>946</v>
      </c>
      <c r="D408" s="1" t="s">
        <v>366</v>
      </c>
      <c r="E408" s="0" t="s">
        <v>947</v>
      </c>
      <c r="F408" s="0" t="n">
        <v>2900</v>
      </c>
      <c r="G408" s="0" t="n">
        <v>0</v>
      </c>
      <c r="H408" s="0" t="n">
        <v>0</v>
      </c>
      <c r="I408" s="2" t="n">
        <f aca="false">G408+H408-F408</f>
        <v>-2900</v>
      </c>
    </row>
    <row r="409" customFormat="false" ht="15.75" hidden="false" customHeight="false" outlineLevel="0" collapsed="false">
      <c r="A409" s="0" t="n">
        <v>2025</v>
      </c>
      <c r="B409" s="0" t="s">
        <v>948</v>
      </c>
      <c r="C409" s="0" t="s">
        <v>949</v>
      </c>
      <c r="D409" s="1" t="s">
        <v>212</v>
      </c>
      <c r="E409" s="0" t="s">
        <v>950</v>
      </c>
      <c r="F409" s="0" t="n">
        <v>0</v>
      </c>
      <c r="G409" s="0" t="n">
        <v>0</v>
      </c>
      <c r="H409" s="0" t="n">
        <v>0</v>
      </c>
      <c r="I409" s="2" t="n">
        <f aca="false">G409+H409-F409</f>
        <v>0</v>
      </c>
    </row>
    <row r="410" customFormat="false" ht="15.75" hidden="false" customHeight="false" outlineLevel="0" collapsed="false">
      <c r="A410" s="0" t="n">
        <v>2025</v>
      </c>
      <c r="B410" s="0" t="s">
        <v>951</v>
      </c>
      <c r="C410" s="0" t="s">
        <v>952</v>
      </c>
      <c r="D410" s="1" t="s">
        <v>878</v>
      </c>
      <c r="E410" s="0" t="s">
        <v>953</v>
      </c>
      <c r="F410" s="0" t="n">
        <v>0</v>
      </c>
      <c r="G410" s="0" t="n">
        <v>0</v>
      </c>
      <c r="H410" s="0" t="n">
        <v>0</v>
      </c>
      <c r="I410" s="2" t="n">
        <f aca="false">G410+H410-F410</f>
        <v>0</v>
      </c>
    </row>
    <row r="411" customFormat="false" ht="15.75" hidden="false" customHeight="false" outlineLevel="0" collapsed="false">
      <c r="A411" s="0" t="n">
        <v>2025</v>
      </c>
      <c r="B411" s="0" t="s">
        <v>954</v>
      </c>
      <c r="C411" s="0" t="s">
        <v>955</v>
      </c>
      <c r="D411" s="1" t="s">
        <v>878</v>
      </c>
      <c r="E411" s="0" t="s">
        <v>956</v>
      </c>
      <c r="F411" s="0" t="n">
        <v>0</v>
      </c>
      <c r="G411" s="0" t="n">
        <v>0</v>
      </c>
      <c r="H411" s="0" t="n">
        <v>0</v>
      </c>
      <c r="I411" s="2" t="n">
        <f aca="false">G411+H411-F411</f>
        <v>0</v>
      </c>
    </row>
    <row r="412" customFormat="false" ht="15.75" hidden="false" customHeight="false" outlineLevel="0" collapsed="false">
      <c r="A412" s="0" t="n">
        <v>2025</v>
      </c>
      <c r="B412" s="0" t="s">
        <v>957</v>
      </c>
      <c r="C412" s="0" t="s">
        <v>958</v>
      </c>
      <c r="D412" s="1" t="s">
        <v>576</v>
      </c>
      <c r="E412" s="0" t="s">
        <v>959</v>
      </c>
      <c r="F412" s="0" t="n">
        <v>0</v>
      </c>
      <c r="G412" s="0" t="n">
        <v>0</v>
      </c>
      <c r="H412" s="0" t="n">
        <v>0</v>
      </c>
      <c r="I412" s="2" t="n">
        <f aca="false">G412+H412-F412</f>
        <v>0</v>
      </c>
    </row>
    <row r="413" customFormat="false" ht="15.75" hidden="false" customHeight="false" outlineLevel="0" collapsed="false">
      <c r="A413" s="0" t="n">
        <v>2025</v>
      </c>
      <c r="B413" s="0" t="s">
        <v>960</v>
      </c>
      <c r="C413" s="0" t="s">
        <v>961</v>
      </c>
      <c r="D413" s="1" t="s">
        <v>366</v>
      </c>
      <c r="E413" s="0" t="s">
        <v>962</v>
      </c>
      <c r="F413" s="0" t="n">
        <v>0</v>
      </c>
      <c r="G413" s="0" t="n">
        <v>0</v>
      </c>
      <c r="H413" s="0" t="n">
        <v>0</v>
      </c>
      <c r="I413" s="2" t="n">
        <f aca="false">G413+H413-F413</f>
        <v>0</v>
      </c>
    </row>
    <row r="414" customFormat="false" ht="15.75" hidden="false" customHeight="false" outlineLevel="0" collapsed="false">
      <c r="A414" s="0" t="n">
        <v>2025</v>
      </c>
      <c r="B414" s="0" t="s">
        <v>963</v>
      </c>
      <c r="C414" s="0" t="s">
        <v>964</v>
      </c>
      <c r="D414" s="1" t="s">
        <v>576</v>
      </c>
      <c r="E414" s="0" t="s">
        <v>965</v>
      </c>
      <c r="F414" s="0" t="n">
        <v>0</v>
      </c>
      <c r="G414" s="0" t="n">
        <v>0</v>
      </c>
      <c r="H414" s="0" t="n">
        <v>0</v>
      </c>
      <c r="I414" s="2" t="n">
        <f aca="false">G414+H414-F414</f>
        <v>0</v>
      </c>
    </row>
    <row r="415" customFormat="false" ht="15.75" hidden="false" customHeight="false" outlineLevel="0" collapsed="false">
      <c r="A415" s="0" t="n">
        <v>2025</v>
      </c>
      <c r="B415" s="0" t="s">
        <v>966</v>
      </c>
      <c r="C415" s="0" t="s">
        <v>967</v>
      </c>
      <c r="D415" s="1" t="s">
        <v>161</v>
      </c>
      <c r="E415" s="0" t="s">
        <v>968</v>
      </c>
      <c r="F415" s="0" t="n">
        <v>0</v>
      </c>
      <c r="G415" s="0" t="n">
        <v>0</v>
      </c>
      <c r="H415" s="0" t="n">
        <v>0</v>
      </c>
      <c r="I415" s="2" t="n">
        <f aca="false">G415+H415-F415</f>
        <v>0</v>
      </c>
    </row>
    <row r="416" customFormat="false" ht="15.75" hidden="false" customHeight="false" outlineLevel="0" collapsed="false">
      <c r="A416" s="0" t="n">
        <v>2025</v>
      </c>
      <c r="B416" s="0" t="s">
        <v>969</v>
      </c>
      <c r="C416" s="0" t="s">
        <v>970</v>
      </c>
      <c r="D416" s="1" t="s">
        <v>423</v>
      </c>
      <c r="E416" s="0" t="s">
        <v>971</v>
      </c>
      <c r="F416" s="0" t="n">
        <v>0</v>
      </c>
      <c r="G416" s="0" t="n">
        <v>0</v>
      </c>
      <c r="H416" s="0" t="n">
        <v>0</v>
      </c>
      <c r="I416" s="2" t="n">
        <f aca="false">G416+H416-F416</f>
        <v>0</v>
      </c>
    </row>
    <row r="417" customFormat="false" ht="15.75" hidden="false" customHeight="false" outlineLevel="0" collapsed="false">
      <c r="A417" s="0" t="n">
        <v>2025</v>
      </c>
      <c r="B417" s="0" t="s">
        <v>972</v>
      </c>
      <c r="C417" s="0" t="s">
        <v>973</v>
      </c>
      <c r="D417" s="1" t="s">
        <v>113</v>
      </c>
      <c r="E417" s="0" t="s">
        <v>974</v>
      </c>
      <c r="F417" s="0" t="n">
        <v>0</v>
      </c>
      <c r="G417" s="0" t="n">
        <v>0</v>
      </c>
      <c r="H417" s="0" t="n">
        <v>0</v>
      </c>
      <c r="I417" s="2" t="n">
        <f aca="false">G417+H417-F417</f>
        <v>0</v>
      </c>
    </row>
    <row r="418" customFormat="false" ht="15.75" hidden="false" customHeight="false" outlineLevel="0" collapsed="false">
      <c r="A418" s="0" t="n">
        <v>2025</v>
      </c>
      <c r="B418" s="0" t="s">
        <v>975</v>
      </c>
      <c r="C418" s="0" t="s">
        <v>976</v>
      </c>
      <c r="D418" s="1" t="s">
        <v>366</v>
      </c>
      <c r="E418" s="0" t="s">
        <v>974</v>
      </c>
      <c r="F418" s="0" t="n">
        <v>200</v>
      </c>
      <c r="G418" s="0" t="n">
        <v>0</v>
      </c>
      <c r="H418" s="0" t="n">
        <v>0</v>
      </c>
      <c r="I418" s="2" t="n">
        <f aca="false">G418+H418-F418</f>
        <v>-200</v>
      </c>
    </row>
    <row r="419" customFormat="false" ht="15.75" hidden="false" customHeight="false" outlineLevel="0" collapsed="false">
      <c r="A419" s="0" t="n">
        <v>2025</v>
      </c>
      <c r="B419" s="0" t="s">
        <v>977</v>
      </c>
      <c r="C419" s="0" t="s">
        <v>978</v>
      </c>
      <c r="D419" s="1" t="s">
        <v>113</v>
      </c>
      <c r="E419" s="0" t="s">
        <v>979</v>
      </c>
      <c r="F419" s="0" t="n">
        <v>0</v>
      </c>
      <c r="G419" s="0" t="n">
        <v>0</v>
      </c>
      <c r="H419" s="0" t="n">
        <v>0</v>
      </c>
      <c r="I419" s="2" t="n">
        <f aca="false">G419+H419-F419</f>
        <v>0</v>
      </c>
    </row>
    <row r="420" customFormat="false" ht="15.75" hidden="false" customHeight="false" outlineLevel="0" collapsed="false">
      <c r="A420" s="0" t="n">
        <v>2025</v>
      </c>
      <c r="B420" s="0" t="s">
        <v>980</v>
      </c>
      <c r="C420" s="0" t="s">
        <v>981</v>
      </c>
      <c r="D420" s="1" t="s">
        <v>423</v>
      </c>
      <c r="E420" s="0" t="n">
        <v>740477441</v>
      </c>
      <c r="F420" s="0" t="n">
        <v>0</v>
      </c>
      <c r="G420" s="0" t="n">
        <v>0</v>
      </c>
      <c r="H420" s="0" t="n">
        <v>0</v>
      </c>
      <c r="I420" s="2" t="n">
        <f aca="false">G420+H420-F420</f>
        <v>0</v>
      </c>
    </row>
    <row r="421" customFormat="false" ht="15.75" hidden="false" customHeight="false" outlineLevel="0" collapsed="false">
      <c r="A421" s="0" t="n">
        <v>2025</v>
      </c>
      <c r="B421" s="0" t="s">
        <v>982</v>
      </c>
      <c r="C421" s="0" t="s">
        <v>983</v>
      </c>
      <c r="D421" s="1" t="s">
        <v>576</v>
      </c>
      <c r="E421" s="0" t="s">
        <v>984</v>
      </c>
      <c r="F421" s="0" t="n">
        <v>0</v>
      </c>
      <c r="G421" s="0" t="n">
        <v>0</v>
      </c>
      <c r="H421" s="0" t="n">
        <v>0</v>
      </c>
      <c r="I421" s="2" t="n">
        <f aca="false">G421+H421-F421</f>
        <v>0</v>
      </c>
    </row>
    <row r="422" customFormat="false" ht="15.75" hidden="false" customHeight="false" outlineLevel="0" collapsed="false">
      <c r="A422" s="0" t="n">
        <v>2025</v>
      </c>
      <c r="B422" s="0" t="s">
        <v>985</v>
      </c>
      <c r="C422" s="0" t="s">
        <v>986</v>
      </c>
      <c r="D422" s="1" t="s">
        <v>576</v>
      </c>
      <c r="E422" s="0" t="s">
        <v>984</v>
      </c>
      <c r="F422" s="0" t="n">
        <v>0</v>
      </c>
      <c r="G422" s="0" t="n">
        <v>0</v>
      </c>
      <c r="H422" s="0" t="n">
        <v>0</v>
      </c>
      <c r="I422" s="2" t="n">
        <f aca="false">G422+H422-F422</f>
        <v>0</v>
      </c>
    </row>
    <row r="423" customFormat="false" ht="15.75" hidden="false" customHeight="false" outlineLevel="0" collapsed="false">
      <c r="A423" s="0" t="n">
        <v>2025</v>
      </c>
      <c r="B423" s="0" t="s">
        <v>987</v>
      </c>
      <c r="C423" s="0" t="s">
        <v>988</v>
      </c>
      <c r="D423" s="1" t="s">
        <v>423</v>
      </c>
      <c r="E423" s="0" t="s">
        <v>989</v>
      </c>
      <c r="F423" s="0" t="n">
        <v>0</v>
      </c>
      <c r="G423" s="0" t="n">
        <v>0</v>
      </c>
      <c r="H423" s="0" t="n">
        <v>0</v>
      </c>
      <c r="I423" s="2" t="n">
        <f aca="false">G423+H423-F423</f>
        <v>0</v>
      </c>
    </row>
    <row r="424" customFormat="false" ht="15.75" hidden="false" customHeight="false" outlineLevel="0" collapsed="false">
      <c r="A424" s="0" t="n">
        <v>2025</v>
      </c>
      <c r="B424" s="0" t="s">
        <v>990</v>
      </c>
      <c r="C424" s="0" t="s">
        <v>991</v>
      </c>
      <c r="D424" s="1" t="s">
        <v>277</v>
      </c>
      <c r="E424" s="0" t="s">
        <v>992</v>
      </c>
      <c r="F424" s="0" t="n">
        <v>0</v>
      </c>
      <c r="G424" s="0" t="n">
        <v>0</v>
      </c>
      <c r="H424" s="0" t="n">
        <v>0</v>
      </c>
      <c r="I424" s="2" t="n">
        <f aca="false">G424+H424-F424</f>
        <v>0</v>
      </c>
    </row>
    <row r="425" customFormat="false" ht="15.75" hidden="false" customHeight="false" outlineLevel="0" collapsed="false">
      <c r="A425" s="0" t="n">
        <v>2025</v>
      </c>
      <c r="B425" s="0" t="s">
        <v>993</v>
      </c>
      <c r="C425" s="0" t="s">
        <v>994</v>
      </c>
      <c r="D425" s="1" t="s">
        <v>366</v>
      </c>
      <c r="E425" s="0" t="s">
        <v>995</v>
      </c>
      <c r="F425" s="0" t="n">
        <v>0</v>
      </c>
      <c r="G425" s="0" t="n">
        <v>0</v>
      </c>
      <c r="H425" s="0" t="n">
        <v>0</v>
      </c>
      <c r="I425" s="2" t="n">
        <f aca="false">G425+H425-F425</f>
        <v>0</v>
      </c>
    </row>
    <row r="426" customFormat="false" ht="15.75" hidden="false" customHeight="false" outlineLevel="0" collapsed="false">
      <c r="A426" s="0" t="n">
        <v>2025</v>
      </c>
      <c r="B426" s="0" t="s">
        <v>996</v>
      </c>
      <c r="C426" s="0" t="s">
        <v>997</v>
      </c>
      <c r="D426" s="1" t="s">
        <v>277</v>
      </c>
      <c r="E426" s="0" t="s">
        <v>998</v>
      </c>
      <c r="F426" s="0" t="n">
        <v>500</v>
      </c>
      <c r="G426" s="0" t="n">
        <v>0</v>
      </c>
      <c r="H426" s="0" t="n">
        <v>0</v>
      </c>
      <c r="I426" s="2" t="n">
        <f aca="false">G426+H426-F426</f>
        <v>-500</v>
      </c>
    </row>
    <row r="427" customFormat="false" ht="15.75" hidden="false" customHeight="false" outlineLevel="0" collapsed="false">
      <c r="A427" s="0" t="n">
        <v>2025</v>
      </c>
      <c r="B427" s="0" t="s">
        <v>999</v>
      </c>
      <c r="C427" s="0" t="s">
        <v>1000</v>
      </c>
      <c r="D427" s="1" t="s">
        <v>113</v>
      </c>
      <c r="E427" s="0" t="s">
        <v>1001</v>
      </c>
      <c r="F427" s="0" t="n">
        <v>0</v>
      </c>
      <c r="G427" s="0" t="n">
        <v>0</v>
      </c>
      <c r="H427" s="0" t="n">
        <v>0</v>
      </c>
      <c r="I427" s="2" t="n">
        <f aca="false">G427+H427-F427</f>
        <v>0</v>
      </c>
    </row>
    <row r="428" customFormat="false" ht="15.75" hidden="false" customHeight="false" outlineLevel="0" collapsed="false">
      <c r="A428" s="0" t="n">
        <v>2025</v>
      </c>
      <c r="B428" s="0" t="s">
        <v>1002</v>
      </c>
      <c r="C428" s="0" t="s">
        <v>1003</v>
      </c>
      <c r="D428" s="1" t="s">
        <v>878</v>
      </c>
      <c r="E428" s="0" t="s">
        <v>1004</v>
      </c>
      <c r="F428" s="0" t="n">
        <v>0</v>
      </c>
      <c r="G428" s="0" t="n">
        <v>0</v>
      </c>
      <c r="H428" s="0" t="n">
        <v>0</v>
      </c>
      <c r="I428" s="2" t="n">
        <f aca="false">G428+H428-F428</f>
        <v>0</v>
      </c>
    </row>
    <row r="429" customFormat="false" ht="15.75" hidden="false" customHeight="false" outlineLevel="0" collapsed="false">
      <c r="A429" s="0" t="n">
        <v>2025</v>
      </c>
      <c r="B429" s="0" t="s">
        <v>1005</v>
      </c>
      <c r="C429" s="0" t="s">
        <v>1006</v>
      </c>
      <c r="D429" s="1" t="s">
        <v>423</v>
      </c>
      <c r="E429" s="0" t="s">
        <v>1007</v>
      </c>
      <c r="F429" s="0" t="n">
        <v>0</v>
      </c>
      <c r="G429" s="0" t="n">
        <v>0</v>
      </c>
      <c r="H429" s="0" t="n">
        <v>0</v>
      </c>
      <c r="I429" s="2" t="n">
        <f aca="false">G429+H429-F429</f>
        <v>0</v>
      </c>
    </row>
    <row r="430" customFormat="false" ht="15.75" hidden="false" customHeight="false" outlineLevel="0" collapsed="false">
      <c r="A430" s="0" t="n">
        <v>2025</v>
      </c>
      <c r="B430" s="0" t="s">
        <v>1008</v>
      </c>
      <c r="C430" s="0" t="s">
        <v>1009</v>
      </c>
      <c r="D430" s="1" t="s">
        <v>423</v>
      </c>
      <c r="E430" s="0" t="s">
        <v>1010</v>
      </c>
      <c r="F430" s="0" t="n">
        <v>0</v>
      </c>
      <c r="G430" s="0" t="n">
        <v>0</v>
      </c>
      <c r="H430" s="0" t="n">
        <v>0</v>
      </c>
      <c r="I430" s="2" t="n">
        <f aca="false">G430+H430-F430</f>
        <v>0</v>
      </c>
    </row>
    <row r="431" customFormat="false" ht="15.75" hidden="false" customHeight="false" outlineLevel="0" collapsed="false">
      <c r="A431" s="0" t="n">
        <v>2025</v>
      </c>
      <c r="B431" s="0" t="s">
        <v>1011</v>
      </c>
      <c r="C431" s="0" t="s">
        <v>1012</v>
      </c>
      <c r="D431" s="1" t="s">
        <v>161</v>
      </c>
      <c r="E431" s="0" t="s">
        <v>1013</v>
      </c>
      <c r="F431" s="0" t="n">
        <v>0</v>
      </c>
      <c r="G431" s="0" t="n">
        <v>0</v>
      </c>
      <c r="H431" s="0" t="n">
        <v>0</v>
      </c>
      <c r="I431" s="2" t="n">
        <f aca="false">G431+H431-F431</f>
        <v>0</v>
      </c>
    </row>
    <row r="432" customFormat="false" ht="15.75" hidden="false" customHeight="false" outlineLevel="0" collapsed="false">
      <c r="A432" s="0" t="n">
        <v>2025</v>
      </c>
      <c r="B432" s="0" t="s">
        <v>1014</v>
      </c>
      <c r="C432" s="0" t="s">
        <v>1015</v>
      </c>
      <c r="D432" s="1" t="s">
        <v>161</v>
      </c>
      <c r="E432" s="0" t="s">
        <v>1016</v>
      </c>
      <c r="F432" s="0" t="n">
        <v>0</v>
      </c>
      <c r="G432" s="0" t="n">
        <v>0</v>
      </c>
      <c r="H432" s="0" t="n">
        <v>0</v>
      </c>
      <c r="I432" s="2" t="n">
        <f aca="false">G432+H432-F432</f>
        <v>0</v>
      </c>
    </row>
    <row r="433" customFormat="false" ht="15.75" hidden="false" customHeight="false" outlineLevel="0" collapsed="false">
      <c r="A433" s="0" t="n">
        <v>2025</v>
      </c>
      <c r="B433" s="0" t="s">
        <v>1017</v>
      </c>
      <c r="C433" s="0" t="s">
        <v>1018</v>
      </c>
      <c r="D433" s="1" t="s">
        <v>878</v>
      </c>
      <c r="E433" s="0" t="s">
        <v>1019</v>
      </c>
      <c r="F433" s="0" t="n">
        <v>0</v>
      </c>
      <c r="G433" s="0" t="n">
        <v>0</v>
      </c>
      <c r="H433" s="0" t="n">
        <v>0</v>
      </c>
      <c r="I433" s="2" t="n">
        <f aca="false">G433+H433-F433</f>
        <v>0</v>
      </c>
    </row>
    <row r="434" customFormat="false" ht="15.75" hidden="false" customHeight="false" outlineLevel="0" collapsed="false">
      <c r="A434" s="0" t="n">
        <v>2025</v>
      </c>
      <c r="B434" s="0" t="s">
        <v>1020</v>
      </c>
      <c r="C434" s="0" t="s">
        <v>1021</v>
      </c>
      <c r="D434" s="1" t="s">
        <v>423</v>
      </c>
      <c r="E434" s="0" t="s">
        <v>1022</v>
      </c>
      <c r="F434" s="0" t="n">
        <v>0</v>
      </c>
      <c r="G434" s="0" t="n">
        <v>0</v>
      </c>
      <c r="H434" s="0" t="n">
        <v>0</v>
      </c>
      <c r="I434" s="2" t="n">
        <f aca="false">G434+H434-F434</f>
        <v>0</v>
      </c>
    </row>
    <row r="435" customFormat="false" ht="15.75" hidden="false" customHeight="false" outlineLevel="0" collapsed="false">
      <c r="A435" s="0" t="n">
        <v>2025</v>
      </c>
      <c r="B435" s="0" t="s">
        <v>1023</v>
      </c>
      <c r="C435" s="0" t="s">
        <v>1024</v>
      </c>
      <c r="D435" s="1" t="s">
        <v>423</v>
      </c>
      <c r="E435" s="0" t="s">
        <v>1025</v>
      </c>
      <c r="F435" s="0" t="n">
        <v>0</v>
      </c>
      <c r="G435" s="0" t="n">
        <v>0</v>
      </c>
      <c r="H435" s="0" t="n">
        <v>0</v>
      </c>
      <c r="I435" s="2" t="n">
        <f aca="false">G435+H435-F435</f>
        <v>0</v>
      </c>
    </row>
    <row r="436" customFormat="false" ht="15.75" hidden="false" customHeight="false" outlineLevel="0" collapsed="false">
      <c r="A436" s="0" t="n">
        <v>2025</v>
      </c>
      <c r="B436" s="0" t="s">
        <v>1026</v>
      </c>
      <c r="C436" s="0" t="s">
        <v>1027</v>
      </c>
      <c r="D436" s="1" t="s">
        <v>161</v>
      </c>
      <c r="E436" s="0" t="s">
        <v>1025</v>
      </c>
      <c r="F436" s="0" t="n">
        <v>0</v>
      </c>
      <c r="G436" s="0" t="n">
        <v>0</v>
      </c>
      <c r="H436" s="0" t="n">
        <v>0</v>
      </c>
      <c r="I436" s="2" t="n">
        <f aca="false">G436+H436-F436</f>
        <v>0</v>
      </c>
    </row>
    <row r="437" customFormat="false" ht="15.75" hidden="false" customHeight="false" outlineLevel="0" collapsed="false">
      <c r="A437" s="0" t="n">
        <v>2025</v>
      </c>
      <c r="B437" s="0" t="s">
        <v>1028</v>
      </c>
      <c r="C437" s="0" t="s">
        <v>1029</v>
      </c>
      <c r="D437" s="1" t="s">
        <v>576</v>
      </c>
      <c r="E437" s="0" t="s">
        <v>1030</v>
      </c>
      <c r="F437" s="0" t="n">
        <v>0</v>
      </c>
      <c r="G437" s="0" t="n">
        <v>0</v>
      </c>
      <c r="H437" s="0" t="n">
        <v>0</v>
      </c>
      <c r="I437" s="2" t="n">
        <f aca="false">G437+H437-F437</f>
        <v>0</v>
      </c>
    </row>
    <row r="438" customFormat="false" ht="15.75" hidden="false" customHeight="false" outlineLevel="0" collapsed="false">
      <c r="A438" s="0" t="n">
        <v>2025</v>
      </c>
      <c r="B438" s="0" t="s">
        <v>1031</v>
      </c>
      <c r="C438" s="0" t="s">
        <v>1032</v>
      </c>
      <c r="D438" s="1" t="s">
        <v>277</v>
      </c>
      <c r="E438" s="0" t="s">
        <v>1030</v>
      </c>
      <c r="F438" s="0" t="n">
        <v>0</v>
      </c>
      <c r="G438" s="0" t="n">
        <v>0</v>
      </c>
      <c r="H438" s="0" t="n">
        <v>0</v>
      </c>
      <c r="I438" s="2" t="n">
        <f aca="false">G438+H438-F438</f>
        <v>0</v>
      </c>
    </row>
    <row r="439" customFormat="false" ht="15.75" hidden="false" customHeight="false" outlineLevel="0" collapsed="false">
      <c r="A439" s="0" t="n">
        <v>2025</v>
      </c>
      <c r="B439" s="0" t="s">
        <v>1033</v>
      </c>
      <c r="C439" s="0" t="s">
        <v>1034</v>
      </c>
      <c r="D439" s="1" t="s">
        <v>366</v>
      </c>
      <c r="E439" s="0" t="s">
        <v>1035</v>
      </c>
      <c r="F439" s="0" t="n">
        <v>0</v>
      </c>
      <c r="G439" s="0" t="n">
        <v>0</v>
      </c>
      <c r="H439" s="0" t="n">
        <v>0</v>
      </c>
      <c r="I439" s="2" t="n">
        <f aca="false">G439+H439-F439</f>
        <v>0</v>
      </c>
    </row>
    <row r="440" customFormat="false" ht="15.75" hidden="false" customHeight="false" outlineLevel="0" collapsed="false">
      <c r="A440" s="0" t="n">
        <v>2025</v>
      </c>
      <c r="B440" s="0" t="s">
        <v>1036</v>
      </c>
      <c r="C440" s="0" t="s">
        <v>1037</v>
      </c>
      <c r="D440" s="1" t="s">
        <v>212</v>
      </c>
      <c r="E440" s="0" t="s">
        <v>1038</v>
      </c>
      <c r="F440" s="0" t="n">
        <v>0</v>
      </c>
      <c r="G440" s="0" t="n">
        <v>0</v>
      </c>
      <c r="H440" s="0" t="n">
        <v>0</v>
      </c>
      <c r="I440" s="2" t="n">
        <f aca="false">G440+H440-F440</f>
        <v>0</v>
      </c>
    </row>
    <row r="441" customFormat="false" ht="15.75" hidden="false" customHeight="false" outlineLevel="0" collapsed="false">
      <c r="A441" s="0" t="n">
        <v>2025</v>
      </c>
      <c r="B441" s="0" t="s">
        <v>1039</v>
      </c>
      <c r="C441" s="0" t="s">
        <v>1040</v>
      </c>
      <c r="D441" s="1" t="s">
        <v>423</v>
      </c>
      <c r="E441" s="0" t="s">
        <v>1041</v>
      </c>
      <c r="F441" s="0" t="n">
        <v>0</v>
      </c>
      <c r="G441" s="0" t="n">
        <v>0</v>
      </c>
      <c r="H441" s="0" t="n">
        <v>0</v>
      </c>
      <c r="I441" s="2" t="n">
        <f aca="false">G441+H441-F441</f>
        <v>0</v>
      </c>
    </row>
    <row r="442" customFormat="false" ht="15.75" hidden="false" customHeight="false" outlineLevel="0" collapsed="false">
      <c r="A442" s="0" t="n">
        <v>2025</v>
      </c>
      <c r="B442" s="0" t="s">
        <v>1042</v>
      </c>
      <c r="C442" s="0" t="s">
        <v>1043</v>
      </c>
      <c r="D442" s="1" t="s">
        <v>212</v>
      </c>
      <c r="E442" s="0" t="s">
        <v>1044</v>
      </c>
      <c r="F442" s="0" t="n">
        <v>0</v>
      </c>
      <c r="G442" s="0" t="n">
        <v>0</v>
      </c>
      <c r="H442" s="0" t="n">
        <v>0</v>
      </c>
      <c r="I442" s="2" t="n">
        <f aca="false">G442+H442-F442</f>
        <v>0</v>
      </c>
    </row>
    <row r="443" customFormat="false" ht="15.75" hidden="false" customHeight="false" outlineLevel="0" collapsed="false">
      <c r="A443" s="0" t="n">
        <v>2025</v>
      </c>
      <c r="B443" s="0" t="s">
        <v>1045</v>
      </c>
      <c r="C443" s="0" t="s">
        <v>1046</v>
      </c>
      <c r="D443" s="1" t="s">
        <v>113</v>
      </c>
      <c r="E443" s="0" t="s">
        <v>1047</v>
      </c>
      <c r="F443" s="0" t="n">
        <v>0</v>
      </c>
      <c r="G443" s="0" t="n">
        <v>0</v>
      </c>
      <c r="H443" s="0" t="n">
        <v>0</v>
      </c>
      <c r="I443" s="2" t="n">
        <f aca="false">G443+H443-F443</f>
        <v>0</v>
      </c>
    </row>
    <row r="444" customFormat="false" ht="15.75" hidden="false" customHeight="false" outlineLevel="0" collapsed="false">
      <c r="A444" s="0" t="n">
        <v>2025</v>
      </c>
      <c r="B444" s="0" t="s">
        <v>1048</v>
      </c>
      <c r="C444" s="0" t="s">
        <v>1049</v>
      </c>
      <c r="D444" s="1" t="s">
        <v>366</v>
      </c>
      <c r="E444" s="0" t="s">
        <v>1050</v>
      </c>
      <c r="F444" s="0" t="n">
        <v>0</v>
      </c>
      <c r="G444" s="0" t="n">
        <v>0</v>
      </c>
      <c r="H444" s="0" t="n">
        <v>0</v>
      </c>
      <c r="I444" s="2" t="n">
        <f aca="false">G444+H444-F444</f>
        <v>0</v>
      </c>
    </row>
    <row r="445" customFormat="false" ht="15.75" hidden="false" customHeight="false" outlineLevel="0" collapsed="false">
      <c r="A445" s="0" t="n">
        <v>2025</v>
      </c>
      <c r="B445" s="0" t="s">
        <v>1051</v>
      </c>
      <c r="C445" s="0" t="s">
        <v>1052</v>
      </c>
      <c r="D445" s="1" t="s">
        <v>366</v>
      </c>
      <c r="E445" s="0" t="s">
        <v>1053</v>
      </c>
      <c r="F445" s="0" t="n">
        <v>0</v>
      </c>
      <c r="G445" s="0" t="n">
        <v>0</v>
      </c>
      <c r="H445" s="0" t="n">
        <v>0</v>
      </c>
      <c r="I445" s="2" t="n">
        <f aca="false">G445+H445-F445</f>
        <v>0</v>
      </c>
    </row>
    <row r="446" customFormat="false" ht="15.75" hidden="false" customHeight="false" outlineLevel="0" collapsed="false">
      <c r="A446" s="0" t="n">
        <v>2025</v>
      </c>
      <c r="B446" s="0" t="s">
        <v>1054</v>
      </c>
      <c r="C446" s="0" t="s">
        <v>1055</v>
      </c>
      <c r="D446" s="1" t="s">
        <v>366</v>
      </c>
      <c r="E446" s="0" t="s">
        <v>1056</v>
      </c>
      <c r="F446" s="0" t="n">
        <v>0</v>
      </c>
      <c r="G446" s="0" t="n">
        <v>0</v>
      </c>
      <c r="H446" s="0" t="n">
        <v>0</v>
      </c>
      <c r="I446" s="2" t="n">
        <f aca="false">G446+H446-F446</f>
        <v>0</v>
      </c>
    </row>
    <row r="447" customFormat="false" ht="15.75" hidden="false" customHeight="false" outlineLevel="0" collapsed="false">
      <c r="A447" s="0" t="n">
        <v>2025</v>
      </c>
      <c r="B447" s="0" t="s">
        <v>1057</v>
      </c>
      <c r="C447" s="0" t="s">
        <v>1058</v>
      </c>
      <c r="D447" s="1" t="s">
        <v>423</v>
      </c>
      <c r="E447" s="0" t="s">
        <v>1059</v>
      </c>
      <c r="F447" s="0" t="n">
        <v>0</v>
      </c>
      <c r="G447" s="0" t="n">
        <v>0</v>
      </c>
      <c r="H447" s="0" t="n">
        <v>0</v>
      </c>
      <c r="I447" s="2" t="n">
        <f aca="false">G447+H447-F447</f>
        <v>0</v>
      </c>
    </row>
    <row r="448" customFormat="false" ht="15.75" hidden="false" customHeight="false" outlineLevel="0" collapsed="false">
      <c r="A448" s="0" t="n">
        <v>2025</v>
      </c>
      <c r="B448" s="0" t="s">
        <v>1060</v>
      </c>
      <c r="C448" s="0" t="s">
        <v>1061</v>
      </c>
      <c r="D448" s="1" t="s">
        <v>161</v>
      </c>
      <c r="E448" s="0" t="n">
        <v>726483462</v>
      </c>
      <c r="F448" s="0" t="n">
        <v>0</v>
      </c>
      <c r="G448" s="0" t="n">
        <v>0</v>
      </c>
      <c r="H448" s="0" t="n">
        <v>0</v>
      </c>
      <c r="I448" s="2" t="n">
        <f aca="false">G448+H448-F448</f>
        <v>0</v>
      </c>
    </row>
    <row r="449" customFormat="false" ht="15.75" hidden="false" customHeight="false" outlineLevel="0" collapsed="false">
      <c r="A449" s="0" t="n">
        <v>2025</v>
      </c>
      <c r="B449" s="0" t="s">
        <v>1062</v>
      </c>
      <c r="C449" s="0" t="s">
        <v>1063</v>
      </c>
      <c r="D449" s="1" t="s">
        <v>366</v>
      </c>
      <c r="E449" s="0" t="s">
        <v>1064</v>
      </c>
      <c r="F449" s="3" t="n">
        <v>8000</v>
      </c>
      <c r="G449" s="0" t="n">
        <v>0</v>
      </c>
      <c r="H449" s="0" t="n">
        <v>0</v>
      </c>
      <c r="I449" s="2" t="n">
        <f aca="false">G449+H449-F449</f>
        <v>-8000</v>
      </c>
      <c r="L449" s="3"/>
    </row>
    <row r="450" customFormat="false" ht="15.75" hidden="false" customHeight="false" outlineLevel="0" collapsed="false">
      <c r="A450" s="0" t="n">
        <v>2025</v>
      </c>
      <c r="B450" s="0" t="s">
        <v>1065</v>
      </c>
      <c r="C450" s="0" t="s">
        <v>1066</v>
      </c>
      <c r="D450" s="1" t="s">
        <v>212</v>
      </c>
      <c r="E450" s="0" t="s">
        <v>1064</v>
      </c>
      <c r="F450" s="3" t="n">
        <v>8000</v>
      </c>
      <c r="G450" s="0" t="n">
        <v>0</v>
      </c>
      <c r="H450" s="0" t="n">
        <v>0</v>
      </c>
      <c r="I450" s="2" t="n">
        <f aca="false">G450+H450-F450</f>
        <v>-8000</v>
      </c>
      <c r="L450" s="3"/>
    </row>
    <row r="451" customFormat="false" ht="15.75" hidden="false" customHeight="false" outlineLevel="0" collapsed="false">
      <c r="A451" s="0" t="n">
        <v>2025</v>
      </c>
      <c r="B451" s="0" t="s">
        <v>1067</v>
      </c>
      <c r="C451" s="0" t="s">
        <v>1068</v>
      </c>
      <c r="D451" s="1" t="s">
        <v>878</v>
      </c>
      <c r="E451" s="0" t="s">
        <v>1069</v>
      </c>
      <c r="F451" s="0" t="n">
        <v>0</v>
      </c>
      <c r="G451" s="0" t="n">
        <v>0</v>
      </c>
      <c r="H451" s="0" t="n">
        <v>0</v>
      </c>
      <c r="I451" s="2" t="n">
        <f aca="false">G451+H451-F451</f>
        <v>0</v>
      </c>
    </row>
    <row r="452" customFormat="false" ht="15.75" hidden="false" customHeight="false" outlineLevel="0" collapsed="false">
      <c r="A452" s="0" t="n">
        <v>2025</v>
      </c>
      <c r="B452" s="0" t="s">
        <v>1070</v>
      </c>
      <c r="C452" s="0" t="s">
        <v>1071</v>
      </c>
      <c r="D452" s="1" t="s">
        <v>161</v>
      </c>
      <c r="E452" s="0" t="s">
        <v>1072</v>
      </c>
      <c r="F452" s="0" t="n">
        <v>0</v>
      </c>
      <c r="G452" s="0" t="n">
        <v>0</v>
      </c>
      <c r="H452" s="0" t="n">
        <v>0</v>
      </c>
      <c r="I452" s="2" t="n">
        <f aca="false">G452+H452-F452</f>
        <v>0</v>
      </c>
    </row>
    <row r="453" customFormat="false" ht="15.75" hidden="false" customHeight="false" outlineLevel="0" collapsed="false">
      <c r="A453" s="0" t="n">
        <v>2025</v>
      </c>
      <c r="B453" s="0" t="s">
        <v>1073</v>
      </c>
      <c r="C453" s="0" t="s">
        <v>1074</v>
      </c>
      <c r="D453" s="1" t="s">
        <v>423</v>
      </c>
      <c r="E453" s="0" t="n">
        <v>727735306</v>
      </c>
      <c r="F453" s="0" t="n">
        <v>0</v>
      </c>
      <c r="G453" s="0" t="n">
        <v>0</v>
      </c>
      <c r="H453" s="0" t="n">
        <v>500</v>
      </c>
      <c r="I453" s="2" t="n">
        <f aca="false">G453+H453-F453</f>
        <v>500</v>
      </c>
    </row>
    <row r="454" customFormat="false" ht="15.75" hidden="false" customHeight="false" outlineLevel="0" collapsed="false">
      <c r="A454" s="0" t="n">
        <v>2025</v>
      </c>
      <c r="B454" s="0" t="s">
        <v>1075</v>
      </c>
      <c r="C454" s="0" t="s">
        <v>1076</v>
      </c>
      <c r="D454" s="1" t="s">
        <v>423</v>
      </c>
      <c r="E454" s="0" t="s">
        <v>1077</v>
      </c>
      <c r="F454" s="0" t="n">
        <v>0</v>
      </c>
      <c r="G454" s="0" t="n">
        <v>0</v>
      </c>
      <c r="H454" s="0" t="n">
        <v>0</v>
      </c>
      <c r="I454" s="2" t="n">
        <f aca="false">G454+H454-F454</f>
        <v>0</v>
      </c>
    </row>
    <row r="455" customFormat="false" ht="15.75" hidden="false" customHeight="false" outlineLevel="0" collapsed="false">
      <c r="A455" s="0" t="n">
        <v>2025</v>
      </c>
      <c r="B455" s="0" t="s">
        <v>1078</v>
      </c>
      <c r="C455" s="0" t="s">
        <v>1079</v>
      </c>
      <c r="D455" s="1" t="s">
        <v>366</v>
      </c>
      <c r="E455" s="0" t="s">
        <v>1080</v>
      </c>
      <c r="F455" s="0" t="n">
        <v>0</v>
      </c>
      <c r="G455" s="0" t="n">
        <v>0</v>
      </c>
      <c r="H455" s="0" t="n">
        <v>500</v>
      </c>
      <c r="I455" s="2" t="n">
        <f aca="false">G455+H455-F455</f>
        <v>500</v>
      </c>
    </row>
    <row r="456" customFormat="false" ht="15.75" hidden="false" customHeight="false" outlineLevel="0" collapsed="false">
      <c r="A456" s="0" t="n">
        <v>2025</v>
      </c>
      <c r="B456" s="0" t="s">
        <v>1081</v>
      </c>
      <c r="C456" s="0" t="s">
        <v>1082</v>
      </c>
      <c r="D456" s="1" t="s">
        <v>423</v>
      </c>
      <c r="E456" s="0" t="s">
        <v>1083</v>
      </c>
      <c r="F456" s="0" t="n">
        <v>0</v>
      </c>
      <c r="G456" s="0" t="n">
        <v>0</v>
      </c>
      <c r="H456" s="3" t="n">
        <v>2400</v>
      </c>
      <c r="I456" s="2" t="n">
        <f aca="false">G456+H456-F456</f>
        <v>2400</v>
      </c>
    </row>
    <row r="457" customFormat="false" ht="15.75" hidden="false" customHeight="false" outlineLevel="0" collapsed="false">
      <c r="A457" s="0" t="n">
        <v>2025</v>
      </c>
      <c r="B457" s="0" t="s">
        <v>1084</v>
      </c>
      <c r="C457" s="0" t="s">
        <v>1085</v>
      </c>
      <c r="D457" s="1" t="s">
        <v>514</v>
      </c>
      <c r="E457" s="0" t="s">
        <v>1086</v>
      </c>
      <c r="F457" s="0" t="n">
        <v>0</v>
      </c>
      <c r="G457" s="0" t="n">
        <v>0</v>
      </c>
      <c r="H457" s="0" t="n">
        <v>0</v>
      </c>
      <c r="I457" s="2" t="n">
        <f aca="false">G457+H457-F457</f>
        <v>0</v>
      </c>
    </row>
    <row r="458" customFormat="false" ht="15.75" hidden="false" customHeight="false" outlineLevel="0" collapsed="false">
      <c r="A458" s="0" t="n">
        <v>2025</v>
      </c>
      <c r="B458" s="0" t="s">
        <v>1087</v>
      </c>
      <c r="C458" s="0" t="s">
        <v>1088</v>
      </c>
      <c r="D458" s="1" t="s">
        <v>113</v>
      </c>
      <c r="E458" s="0" t="s">
        <v>1089</v>
      </c>
      <c r="F458" s="0" t="n">
        <v>0</v>
      </c>
      <c r="G458" s="0" t="n">
        <v>0</v>
      </c>
      <c r="H458" s="3" t="n">
        <v>8000</v>
      </c>
      <c r="I458" s="2" t="n">
        <f aca="false">G458+H458-F458</f>
        <v>8000</v>
      </c>
    </row>
    <row r="459" customFormat="false" ht="15.75" hidden="false" customHeight="false" outlineLevel="0" collapsed="false">
      <c r="A459" s="0" t="n">
        <v>2025</v>
      </c>
      <c r="B459" s="0" t="s">
        <v>1090</v>
      </c>
      <c r="C459" s="0" t="s">
        <v>1091</v>
      </c>
      <c r="D459" s="1" t="s">
        <v>423</v>
      </c>
      <c r="E459" s="0" t="s">
        <v>1092</v>
      </c>
      <c r="F459" s="0" t="n">
        <v>0</v>
      </c>
      <c r="G459" s="0" t="n">
        <v>0</v>
      </c>
      <c r="H459" s="0" t="n">
        <v>0</v>
      </c>
      <c r="I459" s="2" t="n">
        <f aca="false">G459+H459-F459</f>
        <v>0</v>
      </c>
    </row>
    <row r="460" customFormat="false" ht="15.75" hidden="false" customHeight="false" outlineLevel="0" collapsed="false">
      <c r="A460" s="0" t="n">
        <v>2025</v>
      </c>
      <c r="B460" s="0" t="s">
        <v>1093</v>
      </c>
      <c r="C460" s="0" t="s">
        <v>1094</v>
      </c>
      <c r="D460" s="1" t="s">
        <v>50</v>
      </c>
      <c r="E460" s="0" t="s">
        <v>1035</v>
      </c>
      <c r="F460" s="3" t="n">
        <v>4900</v>
      </c>
      <c r="G460" s="0" t="n">
        <v>0</v>
      </c>
      <c r="H460" s="0" t="n">
        <v>0</v>
      </c>
      <c r="I460" s="2" t="n">
        <f aca="false">G460+H460-F460</f>
        <v>-4900</v>
      </c>
      <c r="L460" s="3"/>
    </row>
    <row r="461" customFormat="false" ht="15.75" hidden="false" customHeight="false" outlineLevel="0" collapsed="false">
      <c r="A461" s="0" t="n">
        <v>2025</v>
      </c>
      <c r="B461" s="0" t="s">
        <v>1095</v>
      </c>
      <c r="C461" s="0" t="s">
        <v>1096</v>
      </c>
      <c r="D461" s="1" t="s">
        <v>11</v>
      </c>
      <c r="E461" s="0" t="s">
        <v>1097</v>
      </c>
      <c r="F461" s="0" t="n">
        <v>0</v>
      </c>
      <c r="G461" s="0" t="n">
        <v>0</v>
      </c>
      <c r="H461" s="0" t="n">
        <v>0</v>
      </c>
      <c r="I461" s="2" t="n">
        <f aca="false">G461+H461-F461</f>
        <v>0</v>
      </c>
    </row>
    <row r="462" customFormat="false" ht="15.75" hidden="false" customHeight="false" outlineLevel="0" collapsed="false">
      <c r="A462" s="0" t="n">
        <v>2025</v>
      </c>
      <c r="B462" s="0" t="s">
        <v>1098</v>
      </c>
      <c r="C462" s="0" t="s">
        <v>1099</v>
      </c>
      <c r="D462" s="1" t="s">
        <v>50</v>
      </c>
      <c r="E462" s="0" t="n">
        <v>714973976</v>
      </c>
      <c r="F462" s="0" t="n">
        <v>0</v>
      </c>
      <c r="G462" s="0" t="n">
        <v>0</v>
      </c>
      <c r="H462" s="3" t="n">
        <v>2500</v>
      </c>
      <c r="I462" s="2" t="n">
        <f aca="false">G462+H462-F462</f>
        <v>2500</v>
      </c>
    </row>
    <row r="463" customFormat="false" ht="15.75" hidden="false" customHeight="false" outlineLevel="0" collapsed="false">
      <c r="A463" s="0" t="n">
        <v>2025</v>
      </c>
      <c r="B463" s="0" t="s">
        <v>1100</v>
      </c>
      <c r="C463" s="0" t="s">
        <v>1101</v>
      </c>
      <c r="D463" s="1" t="s">
        <v>277</v>
      </c>
      <c r="E463" s="0" t="s">
        <v>1102</v>
      </c>
      <c r="F463" s="0" t="n">
        <v>0</v>
      </c>
      <c r="G463" s="0" t="n">
        <v>0</v>
      </c>
      <c r="H463" s="0" t="n">
        <v>0</v>
      </c>
      <c r="I463" s="2" t="n">
        <f aca="false">G463+H463-F463</f>
        <v>0</v>
      </c>
    </row>
    <row r="464" customFormat="false" ht="15.75" hidden="false" customHeight="false" outlineLevel="0" collapsed="false">
      <c r="A464" s="0" t="n">
        <v>2025</v>
      </c>
      <c r="B464" s="0" t="s">
        <v>1103</v>
      </c>
      <c r="C464" s="0" t="s">
        <v>1104</v>
      </c>
      <c r="D464" s="1" t="s">
        <v>366</v>
      </c>
      <c r="E464" s="0" t="n">
        <v>720240568</v>
      </c>
      <c r="F464" s="0" t="n">
        <v>0</v>
      </c>
      <c r="G464" s="0" t="n">
        <v>0</v>
      </c>
      <c r="H464" s="3" t="n">
        <v>14000</v>
      </c>
      <c r="I464" s="2" t="n">
        <f aca="false">G464+H464-F464</f>
        <v>14000</v>
      </c>
    </row>
    <row r="465" customFormat="false" ht="15.75" hidden="false" customHeight="false" outlineLevel="0" collapsed="false">
      <c r="A465" s="0" t="n">
        <v>2025</v>
      </c>
      <c r="B465" s="0" t="s">
        <v>1105</v>
      </c>
      <c r="C465" s="0" t="s">
        <v>1106</v>
      </c>
      <c r="D465" s="1" t="s">
        <v>576</v>
      </c>
      <c r="E465" s="0" t="s">
        <v>1107</v>
      </c>
      <c r="F465" s="0" t="n">
        <v>0</v>
      </c>
      <c r="G465" s="0" t="n">
        <v>0</v>
      </c>
      <c r="H465" s="3" t="n">
        <v>15000</v>
      </c>
      <c r="I465" s="2" t="n">
        <f aca="false">G465+H465-F465</f>
        <v>15000</v>
      </c>
    </row>
    <row r="466" customFormat="false" ht="15.75" hidden="false" customHeight="false" outlineLevel="0" collapsed="false">
      <c r="A466" s="0" t="n">
        <v>2025</v>
      </c>
      <c r="B466" s="0" t="s">
        <v>1108</v>
      </c>
      <c r="C466" s="0" t="s">
        <v>1109</v>
      </c>
      <c r="D466" s="1" t="s">
        <v>161</v>
      </c>
      <c r="E466" s="0" t="s">
        <v>1107</v>
      </c>
      <c r="F466" s="0" t="n">
        <v>0</v>
      </c>
      <c r="G466" s="0" t="n">
        <v>0</v>
      </c>
      <c r="H466" s="3" t="n">
        <v>16500</v>
      </c>
      <c r="I466" s="2" t="n">
        <f aca="false">G466+H466-F466</f>
        <v>16500</v>
      </c>
    </row>
    <row r="467" customFormat="false" ht="15.75" hidden="false" customHeight="false" outlineLevel="0" collapsed="false">
      <c r="A467" s="0" t="n">
        <v>2025</v>
      </c>
      <c r="B467" s="0" t="s">
        <v>1110</v>
      </c>
      <c r="C467" s="0" t="s">
        <v>1111</v>
      </c>
      <c r="D467" s="1" t="s">
        <v>50</v>
      </c>
      <c r="E467" s="0" t="s">
        <v>1112</v>
      </c>
      <c r="F467" s="0" t="n">
        <v>0</v>
      </c>
      <c r="G467" s="0" t="n">
        <v>0</v>
      </c>
      <c r="H467" s="0" t="n">
        <v>0</v>
      </c>
      <c r="I467" s="2" t="n">
        <f aca="false">G467+H467-F467</f>
        <v>0</v>
      </c>
    </row>
    <row r="468" customFormat="false" ht="15.75" hidden="false" customHeight="false" outlineLevel="0" collapsed="false">
      <c r="A468" s="0" t="n">
        <v>2025</v>
      </c>
      <c r="B468" s="0" t="s">
        <v>1113</v>
      </c>
      <c r="C468" s="0" t="s">
        <v>1114</v>
      </c>
      <c r="D468" s="1" t="s">
        <v>50</v>
      </c>
      <c r="E468" s="0" t="s">
        <v>1115</v>
      </c>
      <c r="F468" s="0" t="n">
        <v>0</v>
      </c>
      <c r="G468" s="0" t="n">
        <v>0</v>
      </c>
      <c r="H468" s="0" t="n">
        <v>0</v>
      </c>
      <c r="I468" s="2" t="n">
        <f aca="false">G468+H468-F468</f>
        <v>0</v>
      </c>
    </row>
    <row r="469" customFormat="false" ht="15.75" hidden="false" customHeight="false" outlineLevel="0" collapsed="false">
      <c r="A469" s="0" t="n">
        <v>2025</v>
      </c>
      <c r="B469" s="0" t="s">
        <v>1116</v>
      </c>
      <c r="C469" s="0" t="s">
        <v>1117</v>
      </c>
      <c r="D469" s="1" t="s">
        <v>423</v>
      </c>
      <c r="E469" s="0" t="s">
        <v>1118</v>
      </c>
      <c r="F469" s="0" t="n">
        <v>0</v>
      </c>
      <c r="G469" s="0" t="n">
        <v>0</v>
      </c>
      <c r="H469" s="0" t="n">
        <v>0</v>
      </c>
      <c r="I469" s="2" t="n">
        <f aca="false">G469+H469-F469</f>
        <v>0</v>
      </c>
    </row>
    <row r="470" customFormat="false" ht="15.75" hidden="false" customHeight="false" outlineLevel="0" collapsed="false">
      <c r="A470" s="0" t="n">
        <v>2025</v>
      </c>
      <c r="B470" s="0" t="s">
        <v>1119</v>
      </c>
      <c r="C470" s="0" t="s">
        <v>1120</v>
      </c>
      <c r="D470" s="1" t="s">
        <v>423</v>
      </c>
      <c r="E470" s="0" t="s">
        <v>1118</v>
      </c>
      <c r="F470" s="0" t="n">
        <v>0</v>
      </c>
      <c r="G470" s="0" t="n">
        <v>0</v>
      </c>
      <c r="H470" s="0" t="n">
        <v>0</v>
      </c>
      <c r="I470" s="2" t="n">
        <f aca="false">G470+H470-F470</f>
        <v>0</v>
      </c>
    </row>
    <row r="471" customFormat="false" ht="15.75" hidden="false" customHeight="false" outlineLevel="0" collapsed="false">
      <c r="A471" s="0" t="n">
        <v>2025</v>
      </c>
      <c r="B471" s="0" t="s">
        <v>1121</v>
      </c>
      <c r="C471" s="0" t="s">
        <v>1122</v>
      </c>
      <c r="D471" s="1" t="s">
        <v>878</v>
      </c>
      <c r="E471" s="0" t="s">
        <v>1123</v>
      </c>
      <c r="F471" s="0" t="n">
        <v>0</v>
      </c>
      <c r="G471" s="0" t="n">
        <v>0</v>
      </c>
      <c r="H471" s="3" t="n">
        <v>8500</v>
      </c>
      <c r="I471" s="2" t="n">
        <f aca="false">G471+H471-F471</f>
        <v>8500</v>
      </c>
    </row>
    <row r="472" customFormat="false" ht="15.75" hidden="false" customHeight="false" outlineLevel="0" collapsed="false">
      <c r="A472" s="0" t="n">
        <v>2025</v>
      </c>
      <c r="B472" s="0" t="s">
        <v>1124</v>
      </c>
      <c r="C472" s="0" t="s">
        <v>1125</v>
      </c>
      <c r="D472" s="1" t="s">
        <v>514</v>
      </c>
      <c r="E472" s="0" t="s">
        <v>1126</v>
      </c>
      <c r="F472" s="0" t="n">
        <v>0</v>
      </c>
      <c r="G472" s="0" t="n">
        <v>0</v>
      </c>
      <c r="H472" s="0" t="n">
        <v>0</v>
      </c>
      <c r="I472" s="2" t="n">
        <f aca="false">G472+H472-F472</f>
        <v>0</v>
      </c>
    </row>
    <row r="473" customFormat="false" ht="15.75" hidden="false" customHeight="false" outlineLevel="0" collapsed="false">
      <c r="A473" s="0" t="n">
        <v>2025</v>
      </c>
      <c r="B473" s="0" t="s">
        <v>1127</v>
      </c>
      <c r="C473" s="0" t="s">
        <v>1128</v>
      </c>
      <c r="D473" s="1" t="s">
        <v>366</v>
      </c>
      <c r="E473" s="0" t="s">
        <v>1129</v>
      </c>
      <c r="F473" s="0" t="n">
        <v>0</v>
      </c>
      <c r="G473" s="0" t="n">
        <v>0</v>
      </c>
      <c r="H473" s="3" t="n">
        <v>3500</v>
      </c>
      <c r="I473" s="2" t="n">
        <f aca="false">G473+H473-F473</f>
        <v>3500</v>
      </c>
    </row>
    <row r="474" customFormat="false" ht="15.75" hidden="false" customHeight="false" outlineLevel="0" collapsed="false">
      <c r="A474" s="0" t="n">
        <v>2025</v>
      </c>
      <c r="B474" s="0" t="s">
        <v>1130</v>
      </c>
      <c r="C474" s="0" t="s">
        <v>1131</v>
      </c>
      <c r="D474" s="1" t="s">
        <v>50</v>
      </c>
      <c r="E474" s="0" t="s">
        <v>928</v>
      </c>
      <c r="F474" s="0" t="n">
        <v>0</v>
      </c>
      <c r="G474" s="0" t="n">
        <v>0</v>
      </c>
      <c r="H474" s="0" t="n">
        <v>0</v>
      </c>
      <c r="I474" s="2" t="n">
        <f aca="false">G474+H474-F474</f>
        <v>0</v>
      </c>
    </row>
    <row r="475" customFormat="false" ht="15.75" hidden="false" customHeight="false" outlineLevel="0" collapsed="false">
      <c r="A475" s="0" t="n">
        <v>2025</v>
      </c>
      <c r="B475" s="0" t="s">
        <v>1132</v>
      </c>
      <c r="C475" s="0" t="s">
        <v>1133</v>
      </c>
      <c r="D475" s="1" t="s">
        <v>878</v>
      </c>
      <c r="E475" s="4" t="n">
        <v>2.54072680906325E+025</v>
      </c>
      <c r="F475" s="0" t="n">
        <v>0</v>
      </c>
      <c r="G475" s="0" t="n">
        <v>0</v>
      </c>
      <c r="H475" s="3" t="n">
        <v>2200</v>
      </c>
      <c r="I475" s="2" t="n">
        <f aca="false">G475+H475-F475</f>
        <v>2200</v>
      </c>
    </row>
    <row r="476" customFormat="false" ht="15.75" hidden="false" customHeight="false" outlineLevel="0" collapsed="false">
      <c r="A476" s="0" t="n">
        <v>2025</v>
      </c>
      <c r="B476" s="0" t="s">
        <v>1134</v>
      </c>
      <c r="C476" s="0" t="s">
        <v>1135</v>
      </c>
      <c r="D476" s="1" t="s">
        <v>50</v>
      </c>
      <c r="E476" s="0" t="s">
        <v>1136</v>
      </c>
      <c r="F476" s="0" t="n">
        <v>0</v>
      </c>
      <c r="G476" s="0" t="n">
        <v>0</v>
      </c>
      <c r="H476" s="0" t="n">
        <v>0</v>
      </c>
      <c r="I476" s="2" t="n">
        <f aca="false">G476+H476-F476</f>
        <v>0</v>
      </c>
    </row>
    <row r="477" customFormat="false" ht="15.75" hidden="false" customHeight="false" outlineLevel="0" collapsed="false">
      <c r="A477" s="0" t="n">
        <v>2025</v>
      </c>
      <c r="B477" s="0" t="s">
        <v>1137</v>
      </c>
      <c r="C477" s="0" t="s">
        <v>1138</v>
      </c>
      <c r="D477" s="1" t="s">
        <v>878</v>
      </c>
      <c r="E477" s="0" t="s">
        <v>1139</v>
      </c>
      <c r="F477" s="0" t="n">
        <v>0</v>
      </c>
      <c r="G477" s="0" t="n">
        <v>0</v>
      </c>
      <c r="H477" s="0" t="n">
        <v>0</v>
      </c>
      <c r="I477" s="2" t="n">
        <f aca="false">G477+H477-F477</f>
        <v>0</v>
      </c>
    </row>
    <row r="478" customFormat="false" ht="15.75" hidden="false" customHeight="false" outlineLevel="0" collapsed="false">
      <c r="A478" s="0" t="n">
        <v>2025</v>
      </c>
      <c r="B478" s="0" t="s">
        <v>1140</v>
      </c>
      <c r="C478" s="0" t="s">
        <v>1141</v>
      </c>
      <c r="D478" s="1" t="s">
        <v>113</v>
      </c>
      <c r="E478" s="0" t="s">
        <v>1142</v>
      </c>
      <c r="F478" s="0" t="n">
        <v>0</v>
      </c>
      <c r="G478" s="0" t="n">
        <v>0</v>
      </c>
      <c r="H478" s="3" t="n">
        <v>5500</v>
      </c>
      <c r="I478" s="2" t="n">
        <f aca="false">G478+H478-F478</f>
        <v>5500</v>
      </c>
    </row>
    <row r="479" customFormat="false" ht="15.75" hidden="false" customHeight="false" outlineLevel="0" collapsed="false">
      <c r="A479" s="0" t="n">
        <v>2025</v>
      </c>
      <c r="B479" s="0" t="s">
        <v>1143</v>
      </c>
      <c r="C479" s="0" t="s">
        <v>1144</v>
      </c>
      <c r="D479" s="1" t="s">
        <v>50</v>
      </c>
      <c r="E479" s="0" t="s">
        <v>1102</v>
      </c>
      <c r="F479" s="0" t="n">
        <v>0</v>
      </c>
      <c r="G479" s="0" t="n">
        <v>0</v>
      </c>
      <c r="H479" s="0" t="n">
        <v>0</v>
      </c>
      <c r="I479" s="2" t="n">
        <f aca="false">G479+H479-F479</f>
        <v>0</v>
      </c>
    </row>
    <row r="480" customFormat="false" ht="15.75" hidden="false" customHeight="false" outlineLevel="0" collapsed="false">
      <c r="A480" s="0" t="n">
        <v>2025</v>
      </c>
      <c r="B480" s="0" t="s">
        <v>1145</v>
      </c>
      <c r="C480" s="0" t="s">
        <v>1146</v>
      </c>
      <c r="D480" s="1" t="s">
        <v>212</v>
      </c>
      <c r="E480" s="0" t="s">
        <v>1147</v>
      </c>
      <c r="F480" s="0" t="n">
        <v>0</v>
      </c>
      <c r="G480" s="0" t="n">
        <v>0</v>
      </c>
      <c r="H480" s="3" t="n">
        <v>3000</v>
      </c>
      <c r="I480" s="2" t="n">
        <f aca="false">G480+H480-F480</f>
        <v>3000</v>
      </c>
    </row>
    <row r="481" customFormat="false" ht="15.75" hidden="false" customHeight="false" outlineLevel="0" collapsed="false">
      <c r="A481" s="0" t="n">
        <v>2025</v>
      </c>
      <c r="B481" s="0" t="s">
        <v>1148</v>
      </c>
      <c r="C481" s="0" t="s">
        <v>1149</v>
      </c>
      <c r="D481" s="1" t="s">
        <v>576</v>
      </c>
      <c r="E481" s="0" t="s">
        <v>1150</v>
      </c>
      <c r="F481" s="0" t="n">
        <v>0</v>
      </c>
      <c r="G481" s="0" t="n">
        <v>0</v>
      </c>
      <c r="H481" s="0" t="n">
        <v>0</v>
      </c>
      <c r="I481" s="2" t="n">
        <f aca="false">G481+H481-F481</f>
        <v>0</v>
      </c>
    </row>
    <row r="482" customFormat="false" ht="15.75" hidden="false" customHeight="false" outlineLevel="0" collapsed="false">
      <c r="A482" s="0" t="n">
        <v>2025</v>
      </c>
      <c r="B482" s="0" t="s">
        <v>1151</v>
      </c>
      <c r="C482" s="0" t="s">
        <v>1152</v>
      </c>
      <c r="D482" s="1" t="s">
        <v>878</v>
      </c>
      <c r="E482" s="0" t="s">
        <v>1153</v>
      </c>
      <c r="F482" s="0" t="n">
        <v>0</v>
      </c>
      <c r="G482" s="0" t="n">
        <v>0</v>
      </c>
      <c r="H482" s="0" t="n">
        <v>0</v>
      </c>
      <c r="I482" s="2" t="n">
        <f aca="false">G482+H482-F482</f>
        <v>0</v>
      </c>
    </row>
    <row r="483" customFormat="false" ht="15.75" hidden="false" customHeight="false" outlineLevel="0" collapsed="false">
      <c r="A483" s="0" t="n">
        <v>2025</v>
      </c>
      <c r="B483" s="0" t="s">
        <v>1154</v>
      </c>
      <c r="C483" s="0" t="s">
        <v>1155</v>
      </c>
      <c r="D483" s="1" t="s">
        <v>277</v>
      </c>
      <c r="E483" s="0" t="s">
        <v>1156</v>
      </c>
      <c r="F483" s="0" t="n">
        <v>0</v>
      </c>
      <c r="G483" s="0" t="n">
        <v>0</v>
      </c>
      <c r="H483" s="3" t="n">
        <v>10500</v>
      </c>
      <c r="I483" s="2" t="n">
        <f aca="false">G483+H483-F483</f>
        <v>10500</v>
      </c>
    </row>
    <row r="484" customFormat="false" ht="15.75" hidden="false" customHeight="false" outlineLevel="0" collapsed="false">
      <c r="A484" s="0" t="n">
        <v>2025</v>
      </c>
      <c r="B484" s="0" t="s">
        <v>1157</v>
      </c>
      <c r="C484" s="0" t="s">
        <v>1158</v>
      </c>
      <c r="D484" s="1" t="s">
        <v>878</v>
      </c>
      <c r="E484" s="0" t="s">
        <v>1159</v>
      </c>
      <c r="F484" s="0" t="n">
        <v>0</v>
      </c>
      <c r="G484" s="0" t="n">
        <v>0</v>
      </c>
      <c r="H484" s="3" t="n">
        <v>2600</v>
      </c>
      <c r="I484" s="2" t="n">
        <f aca="false">G484+H484-F484</f>
        <v>2600</v>
      </c>
    </row>
    <row r="485" customFormat="false" ht="15.75" hidden="false" customHeight="false" outlineLevel="0" collapsed="false">
      <c r="A485" s="0" t="n">
        <v>2025</v>
      </c>
      <c r="B485" s="0" t="s">
        <v>1160</v>
      </c>
      <c r="C485" s="0" t="s">
        <v>1161</v>
      </c>
      <c r="D485" s="1" t="s">
        <v>576</v>
      </c>
      <c r="E485" s="0" t="s">
        <v>1159</v>
      </c>
      <c r="F485" s="0" t="n">
        <v>0</v>
      </c>
      <c r="G485" s="0" t="n">
        <v>0</v>
      </c>
      <c r="H485" s="0" t="n">
        <v>0</v>
      </c>
      <c r="I485" s="2" t="n">
        <f aca="false">G485+H485-F485</f>
        <v>0</v>
      </c>
    </row>
    <row r="486" customFormat="false" ht="15.75" hidden="false" customHeight="false" outlineLevel="0" collapsed="false">
      <c r="A486" s="0" t="n">
        <v>2025</v>
      </c>
      <c r="B486" s="0" t="s">
        <v>1162</v>
      </c>
      <c r="C486" s="0" t="s">
        <v>1163</v>
      </c>
      <c r="D486" s="1" t="s">
        <v>50</v>
      </c>
      <c r="E486" s="4" t="n">
        <v>7.24774800070606E+018</v>
      </c>
      <c r="F486" s="0" t="n">
        <v>0</v>
      </c>
      <c r="G486" s="0" t="n">
        <v>0</v>
      </c>
      <c r="H486" s="0" t="n">
        <v>0</v>
      </c>
      <c r="I486" s="2" t="n">
        <f aca="false">G486+H486-F486</f>
        <v>0</v>
      </c>
    </row>
    <row r="487" customFormat="false" ht="15.75" hidden="false" customHeight="false" outlineLevel="0" collapsed="false">
      <c r="A487" s="0" t="n">
        <v>2025</v>
      </c>
      <c r="B487" s="0" t="s">
        <v>1164</v>
      </c>
      <c r="C487" s="0" t="s">
        <v>1165</v>
      </c>
      <c r="D487" s="1" t="s">
        <v>878</v>
      </c>
      <c r="E487" s="0" t="s">
        <v>1166</v>
      </c>
      <c r="F487" s="0" t="n">
        <v>0</v>
      </c>
      <c r="G487" s="0" t="n">
        <v>0</v>
      </c>
      <c r="H487" s="0" t="n">
        <v>0</v>
      </c>
      <c r="I487" s="2" t="n">
        <f aca="false">G487+H487-F487</f>
        <v>0</v>
      </c>
    </row>
    <row r="488" customFormat="false" ht="15.75" hidden="false" customHeight="false" outlineLevel="0" collapsed="false">
      <c r="A488" s="0" t="n">
        <v>2025</v>
      </c>
      <c r="B488" s="0" t="s">
        <v>1167</v>
      </c>
      <c r="C488" s="0" t="s">
        <v>1168</v>
      </c>
      <c r="D488" s="1" t="s">
        <v>212</v>
      </c>
      <c r="E488" s="4" t="n">
        <v>7.24769962072279E+028</v>
      </c>
      <c r="F488" s="0" t="n">
        <v>0</v>
      </c>
      <c r="G488" s="3" t="n">
        <v>6500</v>
      </c>
      <c r="H488" s="3" t="n">
        <v>28500</v>
      </c>
      <c r="I488" s="2" t="n">
        <f aca="false">G488+H488-F488</f>
        <v>35000</v>
      </c>
    </row>
    <row r="489" customFormat="false" ht="15.75" hidden="false" customHeight="false" outlineLevel="0" collapsed="false">
      <c r="A489" s="0" t="n">
        <v>2025</v>
      </c>
      <c r="B489" s="0" t="s">
        <v>1169</v>
      </c>
      <c r="C489" s="0" t="s">
        <v>1170</v>
      </c>
      <c r="D489" s="1" t="s">
        <v>277</v>
      </c>
      <c r="E489" s="4" t="n">
        <v>7.21272863072481E+018</v>
      </c>
      <c r="F489" s="0" t="n">
        <v>0</v>
      </c>
      <c r="G489" s="0" t="n">
        <v>0</v>
      </c>
      <c r="H489" s="0" t="n">
        <v>0</v>
      </c>
      <c r="I489" s="2" t="n">
        <f aca="false">G489+H489-F489</f>
        <v>0</v>
      </c>
    </row>
    <row r="490" customFormat="false" ht="15.75" hidden="false" customHeight="false" outlineLevel="0" collapsed="false">
      <c r="A490" s="0" t="n">
        <v>2025</v>
      </c>
      <c r="B490" s="0" t="s">
        <v>1171</v>
      </c>
      <c r="C490" s="0" t="s">
        <v>1172</v>
      </c>
      <c r="D490" s="1" t="s">
        <v>50</v>
      </c>
      <c r="E490" s="4" t="n">
        <v>7.21272863072481E+018</v>
      </c>
      <c r="F490" s="0" t="n">
        <v>0</v>
      </c>
      <c r="G490" s="0" t="n">
        <v>0</v>
      </c>
      <c r="H490" s="0" t="n">
        <v>0</v>
      </c>
      <c r="I490" s="2" t="n">
        <f aca="false">G490+H490-F490</f>
        <v>0</v>
      </c>
    </row>
    <row r="491" customFormat="false" ht="15.75" hidden="false" customHeight="false" outlineLevel="0" collapsed="false">
      <c r="A491" s="0" t="n">
        <v>2025</v>
      </c>
      <c r="B491" s="0" t="s">
        <v>1173</v>
      </c>
      <c r="C491" s="0" t="s">
        <v>1174</v>
      </c>
      <c r="D491" s="1" t="s">
        <v>277</v>
      </c>
      <c r="E491" s="4" t="n">
        <v>7.18837653074804E+018</v>
      </c>
      <c r="F491" s="0" t="n">
        <v>0</v>
      </c>
      <c r="G491" s="0" t="n">
        <v>0</v>
      </c>
      <c r="H491" s="0" t="n">
        <v>0</v>
      </c>
      <c r="I491" s="2" t="n">
        <f aca="false">G491+H491-F491</f>
        <v>0</v>
      </c>
    </row>
    <row r="492" customFormat="false" ht="15.75" hidden="false" customHeight="false" outlineLevel="0" collapsed="false">
      <c r="A492" s="0" t="n">
        <v>2025</v>
      </c>
      <c r="B492" s="0" t="s">
        <v>1175</v>
      </c>
      <c r="C492" s="0" t="s">
        <v>1176</v>
      </c>
      <c r="D492" s="1" t="s">
        <v>878</v>
      </c>
      <c r="E492" s="0" t="s">
        <v>1177</v>
      </c>
      <c r="F492" s="0" t="n">
        <v>0</v>
      </c>
      <c r="G492" s="0" t="n">
        <v>0</v>
      </c>
      <c r="H492" s="0" t="n">
        <v>0</v>
      </c>
      <c r="I492" s="2" t="n">
        <f aca="false">G492+H492-F492</f>
        <v>0</v>
      </c>
    </row>
    <row r="493" customFormat="false" ht="15.75" hidden="false" customHeight="false" outlineLevel="0" collapsed="false">
      <c r="A493" s="0" t="n">
        <v>2025</v>
      </c>
      <c r="B493" s="0" t="s">
        <v>1178</v>
      </c>
      <c r="C493" s="0" t="s">
        <v>1179</v>
      </c>
      <c r="D493" s="1" t="s">
        <v>878</v>
      </c>
      <c r="E493" s="0" t="s">
        <v>1180</v>
      </c>
      <c r="F493" s="0" t="n">
        <v>0</v>
      </c>
      <c r="G493" s="0" t="n">
        <v>0</v>
      </c>
      <c r="H493" s="3" t="n">
        <v>15500</v>
      </c>
      <c r="I493" s="2" t="n">
        <f aca="false">G493+H493-F493</f>
        <v>15500</v>
      </c>
    </row>
    <row r="494" customFormat="false" ht="15.75" hidden="false" customHeight="false" outlineLevel="0" collapsed="false">
      <c r="A494" s="0" t="n">
        <v>2025</v>
      </c>
      <c r="B494" s="0" t="s">
        <v>1181</v>
      </c>
      <c r="C494" s="0" t="s">
        <v>1182</v>
      </c>
      <c r="D494" s="1" t="s">
        <v>878</v>
      </c>
      <c r="E494" s="0" t="s">
        <v>1183</v>
      </c>
      <c r="F494" s="0" t="n">
        <v>0</v>
      </c>
      <c r="G494" s="0" t="n">
        <v>0</v>
      </c>
      <c r="H494" s="0" t="n">
        <v>0</v>
      </c>
      <c r="I494" s="2" t="n">
        <f aca="false">G494+H494-F494</f>
        <v>0</v>
      </c>
    </row>
    <row r="495" customFormat="false" ht="15.75" hidden="false" customHeight="false" outlineLevel="0" collapsed="false">
      <c r="A495" s="0" t="n">
        <v>2025</v>
      </c>
      <c r="B495" s="0" t="s">
        <v>1184</v>
      </c>
      <c r="C495" s="0" t="s">
        <v>1185</v>
      </c>
      <c r="D495" s="1" t="s">
        <v>878</v>
      </c>
      <c r="E495" s="0" t="s">
        <v>1186</v>
      </c>
      <c r="F495" s="0" t="n">
        <v>0</v>
      </c>
      <c r="G495" s="0" t="n">
        <v>0</v>
      </c>
      <c r="H495" s="3" t="n">
        <v>11550</v>
      </c>
      <c r="I495" s="2" t="n">
        <f aca="false">G495+H495-F495</f>
        <v>11550</v>
      </c>
    </row>
    <row r="496" customFormat="false" ht="15.75" hidden="false" customHeight="false" outlineLevel="0" collapsed="false">
      <c r="A496" s="0" t="n">
        <v>2025</v>
      </c>
      <c r="B496" s="0" t="s">
        <v>1187</v>
      </c>
      <c r="C496" s="0" t="s">
        <v>1188</v>
      </c>
      <c r="D496" s="1" t="s">
        <v>878</v>
      </c>
      <c r="E496" s="0" t="s">
        <v>1189</v>
      </c>
      <c r="F496" s="0" t="n">
        <v>0</v>
      </c>
      <c r="G496" s="0" t="n">
        <v>0</v>
      </c>
      <c r="H496" s="0" t="n">
        <v>0</v>
      </c>
      <c r="I496" s="2" t="n">
        <f aca="false">G496+H496-F496</f>
        <v>0</v>
      </c>
    </row>
    <row r="497" customFormat="false" ht="15.75" hidden="false" customHeight="false" outlineLevel="0" collapsed="false">
      <c r="A497" s="0" t="n">
        <v>2025</v>
      </c>
      <c r="B497" s="0" t="s">
        <v>1190</v>
      </c>
      <c r="C497" s="0" t="s">
        <v>1191</v>
      </c>
      <c r="D497" s="1" t="s">
        <v>878</v>
      </c>
      <c r="E497" s="0" t="s">
        <v>1192</v>
      </c>
      <c r="F497" s="0" t="n">
        <v>0</v>
      </c>
      <c r="G497" s="0" t="n">
        <v>0</v>
      </c>
      <c r="H497" s="0" t="n">
        <v>0</v>
      </c>
      <c r="I497" s="2" t="n">
        <f aca="false">G497+H497-F497</f>
        <v>0</v>
      </c>
    </row>
    <row r="498" customFormat="false" ht="15.75" hidden="false" customHeight="false" outlineLevel="0" collapsed="false">
      <c r="A498" s="0" t="n">
        <v>2025</v>
      </c>
      <c r="B498" s="0" t="s">
        <v>1193</v>
      </c>
      <c r="C498" s="0" t="s">
        <v>1194</v>
      </c>
      <c r="D498" s="1" t="s">
        <v>878</v>
      </c>
      <c r="E498" s="0" t="s">
        <v>1195</v>
      </c>
      <c r="F498" s="0" t="n">
        <v>0</v>
      </c>
      <c r="G498" s="0" t="n">
        <v>0</v>
      </c>
      <c r="H498" s="0" t="n">
        <v>0</v>
      </c>
      <c r="I498" s="2" t="n">
        <f aca="false">G498+H498-F498</f>
        <v>0</v>
      </c>
    </row>
    <row r="499" customFormat="false" ht="15.75" hidden="false" customHeight="false" outlineLevel="0" collapsed="false">
      <c r="A499" s="0" t="n">
        <v>2025</v>
      </c>
      <c r="B499" s="0" t="s">
        <v>1196</v>
      </c>
      <c r="C499" s="0" t="s">
        <v>1197</v>
      </c>
      <c r="D499" s="1" t="s">
        <v>514</v>
      </c>
      <c r="E499" s="0" t="s">
        <v>1198</v>
      </c>
      <c r="F499" s="0" t="n">
        <v>0</v>
      </c>
      <c r="G499" s="0" t="n">
        <v>0</v>
      </c>
      <c r="H499" s="0" t="n">
        <v>0</v>
      </c>
      <c r="I499" s="2" t="n">
        <f aca="false">G499+H499-F499</f>
        <v>0</v>
      </c>
    </row>
    <row r="500" customFormat="false" ht="15.75" hidden="false" customHeight="false" outlineLevel="0" collapsed="false">
      <c r="A500" s="0" t="n">
        <v>2025</v>
      </c>
      <c r="B500" s="0" t="s">
        <v>1199</v>
      </c>
      <c r="C500" s="0" t="s">
        <v>1200</v>
      </c>
      <c r="D500" s="1" t="s">
        <v>514</v>
      </c>
      <c r="E500" s="0" t="s">
        <v>1201</v>
      </c>
      <c r="F500" s="0" t="n">
        <v>0</v>
      </c>
      <c r="G500" s="0" t="n">
        <v>0</v>
      </c>
      <c r="H500" s="0" t="n">
        <v>0</v>
      </c>
      <c r="I500" s="2" t="n">
        <f aca="false">G500+H500-F500</f>
        <v>0</v>
      </c>
    </row>
    <row r="501" customFormat="false" ht="15.75" hidden="false" customHeight="false" outlineLevel="0" collapsed="false">
      <c r="A501" s="0" t="n">
        <v>2025</v>
      </c>
      <c r="B501" s="0" t="s">
        <v>1202</v>
      </c>
      <c r="C501" s="0" t="s">
        <v>1203</v>
      </c>
      <c r="D501" s="1" t="s">
        <v>878</v>
      </c>
      <c r="E501" s="0" t="s">
        <v>1204</v>
      </c>
      <c r="F501" s="0" t="n">
        <v>0</v>
      </c>
      <c r="G501" s="0" t="n">
        <v>0</v>
      </c>
      <c r="H501" s="0" t="n">
        <v>0</v>
      </c>
      <c r="I501" s="2" t="n">
        <f aca="false">G501+H501-F501</f>
        <v>0</v>
      </c>
    </row>
    <row r="502" customFormat="false" ht="15.75" hidden="false" customHeight="false" outlineLevel="0" collapsed="false">
      <c r="A502" s="0" t="n">
        <v>2025</v>
      </c>
      <c r="B502" s="0" t="s">
        <v>1205</v>
      </c>
      <c r="C502" s="0" t="s">
        <v>1206</v>
      </c>
      <c r="D502" s="1" t="s">
        <v>212</v>
      </c>
      <c r="E502" s="0" t="s">
        <v>1207</v>
      </c>
      <c r="F502" s="0" t="n">
        <v>0</v>
      </c>
      <c r="G502" s="0" t="n">
        <v>0</v>
      </c>
      <c r="H502" s="0" t="n">
        <v>0</v>
      </c>
      <c r="I502" s="2" t="n">
        <f aca="false">G502+H502-F502</f>
        <v>0</v>
      </c>
    </row>
    <row r="503" customFormat="false" ht="15.75" hidden="false" customHeight="false" outlineLevel="0" collapsed="false">
      <c r="A503" s="0" t="n">
        <v>2025</v>
      </c>
      <c r="B503" s="0" t="s">
        <v>1208</v>
      </c>
      <c r="C503" s="0" t="s">
        <v>1209</v>
      </c>
      <c r="D503" s="1" t="s">
        <v>423</v>
      </c>
      <c r="E503" s="0" t="s">
        <v>1210</v>
      </c>
      <c r="F503" s="0" t="n">
        <v>0</v>
      </c>
      <c r="G503" s="0" t="n">
        <v>0</v>
      </c>
      <c r="H503" s="0" t="n">
        <v>0</v>
      </c>
      <c r="I503" s="2" t="n">
        <f aca="false">G503+H503-F503</f>
        <v>0</v>
      </c>
    </row>
    <row r="504" customFormat="false" ht="15.75" hidden="false" customHeight="false" outlineLevel="0" collapsed="false">
      <c r="A504" s="0" t="n">
        <v>2025</v>
      </c>
      <c r="B504" s="0" t="s">
        <v>1211</v>
      </c>
      <c r="C504" s="0" t="s">
        <v>1212</v>
      </c>
      <c r="D504" s="1" t="s">
        <v>576</v>
      </c>
      <c r="E504" s="0" t="s">
        <v>1213</v>
      </c>
      <c r="F504" s="0" t="n">
        <v>0</v>
      </c>
      <c r="G504" s="0" t="n">
        <v>0</v>
      </c>
      <c r="H504" s="0" t="n">
        <v>0</v>
      </c>
      <c r="I504" s="2" t="n">
        <f aca="false">G504+H504-F504</f>
        <v>0</v>
      </c>
    </row>
    <row r="505" customFormat="false" ht="15.75" hidden="false" customHeight="false" outlineLevel="0" collapsed="false">
      <c r="A505" s="0" t="n">
        <v>2025</v>
      </c>
      <c r="B505" s="0" t="s">
        <v>1214</v>
      </c>
      <c r="C505" s="0" t="s">
        <v>1215</v>
      </c>
      <c r="D505" s="1" t="s">
        <v>161</v>
      </c>
      <c r="E505" s="0" t="s">
        <v>1216</v>
      </c>
      <c r="F505" s="0" t="n">
        <v>0</v>
      </c>
      <c r="G505" s="0" t="n">
        <v>0</v>
      </c>
      <c r="H505" s="0" t="n">
        <v>0</v>
      </c>
      <c r="I505" s="2" t="n">
        <f aca="false">G505+H505-F505</f>
        <v>0</v>
      </c>
    </row>
    <row r="506" customFormat="false" ht="15.75" hidden="false" customHeight="false" outlineLevel="0" collapsed="false">
      <c r="A506" s="0" t="n">
        <v>2025</v>
      </c>
      <c r="B506" s="0" t="s">
        <v>1217</v>
      </c>
      <c r="C506" s="0" t="s">
        <v>1218</v>
      </c>
      <c r="D506" s="1" t="s">
        <v>277</v>
      </c>
      <c r="E506" s="0" t="s">
        <v>1216</v>
      </c>
      <c r="F506" s="0" t="n">
        <v>0</v>
      </c>
      <c r="G506" s="0" t="n">
        <v>0</v>
      </c>
      <c r="H506" s="0" t="n">
        <v>0</v>
      </c>
      <c r="I506" s="2" t="n">
        <f aca="false">G506+H506-F506</f>
        <v>0</v>
      </c>
    </row>
    <row r="507" customFormat="false" ht="15.75" hidden="false" customHeight="false" outlineLevel="0" collapsed="false">
      <c r="A507" s="0" t="n">
        <v>2025</v>
      </c>
      <c r="B507" s="0" t="s">
        <v>1219</v>
      </c>
      <c r="C507" s="0" t="s">
        <v>1220</v>
      </c>
      <c r="D507" s="1" t="s">
        <v>878</v>
      </c>
      <c r="E507" s="0" t="s">
        <v>1221</v>
      </c>
      <c r="F507" s="0" t="n">
        <v>0</v>
      </c>
      <c r="G507" s="0" t="n">
        <v>0</v>
      </c>
      <c r="H507" s="0" t="n">
        <v>0</v>
      </c>
      <c r="I507" s="2" t="n">
        <f aca="false">G507+H507-F507</f>
        <v>0</v>
      </c>
    </row>
    <row r="508" customFormat="false" ht="15.75" hidden="false" customHeight="false" outlineLevel="0" collapsed="false">
      <c r="A508" s="0" t="n">
        <v>2025</v>
      </c>
      <c r="B508" s="0" t="s">
        <v>1222</v>
      </c>
      <c r="C508" s="0" t="s">
        <v>1223</v>
      </c>
      <c r="D508" s="1" t="s">
        <v>878</v>
      </c>
      <c r="E508" s="0" t="s">
        <v>1224</v>
      </c>
      <c r="F508" s="0" t="n">
        <v>0</v>
      </c>
      <c r="G508" s="0" t="n">
        <v>0</v>
      </c>
      <c r="H508" s="0" t="n">
        <v>0</v>
      </c>
      <c r="I508" s="2" t="n">
        <f aca="false">G508+H508-F508</f>
        <v>0</v>
      </c>
    </row>
    <row r="509" customFormat="false" ht="15.75" hidden="false" customHeight="false" outlineLevel="0" collapsed="false">
      <c r="A509" s="0" t="n">
        <v>2025</v>
      </c>
      <c r="B509" s="0" t="s">
        <v>1225</v>
      </c>
      <c r="C509" s="0" t="s">
        <v>1226</v>
      </c>
      <c r="D509" s="1" t="s">
        <v>161</v>
      </c>
      <c r="E509" s="0" t="s">
        <v>1227</v>
      </c>
      <c r="F509" s="0" t="n">
        <v>100</v>
      </c>
      <c r="G509" s="0" t="n">
        <v>0</v>
      </c>
      <c r="H509" s="0" t="n">
        <v>0</v>
      </c>
      <c r="I509" s="2" t="n">
        <f aca="false">G509+H509-F509</f>
        <v>-100</v>
      </c>
    </row>
    <row r="510" customFormat="false" ht="15.75" hidden="false" customHeight="false" outlineLevel="0" collapsed="false">
      <c r="A510" s="0" t="n">
        <v>2025</v>
      </c>
      <c r="B510" s="0" t="s">
        <v>1228</v>
      </c>
      <c r="C510" s="0" t="s">
        <v>1229</v>
      </c>
      <c r="D510" s="1" t="s">
        <v>878</v>
      </c>
      <c r="E510" s="0" t="s">
        <v>1230</v>
      </c>
      <c r="F510" s="0" t="n">
        <v>0</v>
      </c>
      <c r="G510" s="0" t="n">
        <v>0</v>
      </c>
      <c r="H510" s="0" t="n">
        <v>0</v>
      </c>
      <c r="I510" s="2" t="n">
        <f aca="false">G510+H510-F510</f>
        <v>0</v>
      </c>
    </row>
    <row r="511" customFormat="false" ht="15.75" hidden="false" customHeight="false" outlineLevel="0" collapsed="false">
      <c r="A511" s="0" t="n">
        <v>2025</v>
      </c>
      <c r="B511" s="0" t="s">
        <v>1231</v>
      </c>
      <c r="C511" s="0" t="s">
        <v>1232</v>
      </c>
      <c r="D511" s="1" t="s">
        <v>878</v>
      </c>
      <c r="E511" s="0" t="s">
        <v>1233</v>
      </c>
      <c r="F511" s="0" t="n">
        <v>0</v>
      </c>
      <c r="G511" s="0" t="n">
        <v>0</v>
      </c>
      <c r="H511" s="0" t="n">
        <v>0</v>
      </c>
      <c r="I511" s="2" t="n">
        <f aca="false">G511+H511-F511</f>
        <v>0</v>
      </c>
    </row>
    <row r="512" customFormat="false" ht="15.75" hidden="false" customHeight="false" outlineLevel="0" collapsed="false">
      <c r="A512" s="0" t="n">
        <v>2025</v>
      </c>
      <c r="B512" s="0" t="s">
        <v>1234</v>
      </c>
      <c r="C512" s="0" t="s">
        <v>1235</v>
      </c>
      <c r="D512" s="1" t="s">
        <v>878</v>
      </c>
      <c r="E512" s="0" t="s">
        <v>1236</v>
      </c>
      <c r="F512" s="0" t="n">
        <v>0</v>
      </c>
      <c r="G512" s="0" t="n">
        <v>0</v>
      </c>
      <c r="H512" s="0" t="n">
        <v>0</v>
      </c>
      <c r="I512" s="2" t="n">
        <f aca="false">G512+H512-F512</f>
        <v>0</v>
      </c>
    </row>
    <row r="513" customFormat="false" ht="15.75" hidden="false" customHeight="false" outlineLevel="0" collapsed="false">
      <c r="A513" s="0" t="n">
        <v>2025</v>
      </c>
      <c r="B513" s="0" t="s">
        <v>1237</v>
      </c>
      <c r="C513" s="0" t="s">
        <v>1238</v>
      </c>
      <c r="D513" s="1" t="s">
        <v>878</v>
      </c>
      <c r="E513" s="0" t="s">
        <v>1239</v>
      </c>
      <c r="F513" s="0" t="n">
        <v>0</v>
      </c>
      <c r="G513" s="0" t="n">
        <v>0</v>
      </c>
      <c r="H513" s="0" t="n">
        <v>0</v>
      </c>
      <c r="I513" s="2" t="n">
        <f aca="false">G513+H513-F513</f>
        <v>0</v>
      </c>
    </row>
    <row r="514" customFormat="false" ht="15.75" hidden="false" customHeight="false" outlineLevel="0" collapsed="false">
      <c r="A514" s="0" t="n">
        <v>2025</v>
      </c>
      <c r="B514" s="0" t="s">
        <v>1240</v>
      </c>
      <c r="C514" s="0" t="s">
        <v>1241</v>
      </c>
      <c r="D514" s="1" t="s">
        <v>11</v>
      </c>
      <c r="E514" s="0" t="s">
        <v>1242</v>
      </c>
      <c r="F514" s="0" t="n">
        <v>0</v>
      </c>
      <c r="G514" s="0" t="n">
        <v>0</v>
      </c>
      <c r="H514" s="3" t="n">
        <v>3000</v>
      </c>
      <c r="I514" s="2" t="n">
        <f aca="false">G514+H514-F514</f>
        <v>3000</v>
      </c>
    </row>
    <row r="515" customFormat="false" ht="15.75" hidden="false" customHeight="false" outlineLevel="0" collapsed="false">
      <c r="A515" s="0" t="n">
        <v>2025</v>
      </c>
      <c r="B515" s="0" t="s">
        <v>1243</v>
      </c>
      <c r="C515" s="0" t="s">
        <v>1244</v>
      </c>
      <c r="D515" s="1" t="s">
        <v>212</v>
      </c>
      <c r="E515" s="0" t="s">
        <v>1245</v>
      </c>
      <c r="F515" s="0" t="n">
        <v>0</v>
      </c>
      <c r="G515" s="0" t="n">
        <v>0</v>
      </c>
      <c r="H515" s="0" t="n">
        <v>0</v>
      </c>
      <c r="I515" s="2" t="n">
        <f aca="false">G515+H515-F515</f>
        <v>0</v>
      </c>
    </row>
    <row r="516" customFormat="false" ht="15.75" hidden="false" customHeight="false" outlineLevel="0" collapsed="false">
      <c r="A516" s="0" t="n">
        <v>2025</v>
      </c>
      <c r="B516" s="0" t="s">
        <v>1246</v>
      </c>
      <c r="C516" s="0" t="s">
        <v>1247</v>
      </c>
      <c r="D516" s="1" t="s">
        <v>212</v>
      </c>
      <c r="E516" s="0" t="s">
        <v>1248</v>
      </c>
      <c r="F516" s="0" t="n">
        <v>0</v>
      </c>
      <c r="G516" s="0" t="n">
        <v>0</v>
      </c>
      <c r="H516" s="0" t="n">
        <v>0</v>
      </c>
      <c r="I516" s="2" t="n">
        <f aca="false">G516+H516-F516</f>
        <v>0</v>
      </c>
    </row>
    <row r="517" customFormat="false" ht="15.75" hidden="false" customHeight="false" outlineLevel="0" collapsed="false">
      <c r="A517" s="0" t="n">
        <v>2025</v>
      </c>
      <c r="B517" s="0" t="s">
        <v>1249</v>
      </c>
      <c r="C517" s="0" t="s">
        <v>1250</v>
      </c>
      <c r="D517" s="1" t="s">
        <v>11</v>
      </c>
      <c r="E517" s="4" t="n">
        <v>7.22929808072122E+018</v>
      </c>
      <c r="F517" s="0" t="n">
        <v>0</v>
      </c>
      <c r="G517" s="0" t="n">
        <v>0</v>
      </c>
      <c r="H517" s="0" t="n">
        <v>0</v>
      </c>
      <c r="I517" s="2" t="n">
        <f aca="false">G517+H517-F517</f>
        <v>0</v>
      </c>
    </row>
    <row r="518" customFormat="false" ht="15.75" hidden="false" customHeight="false" outlineLevel="0" collapsed="false">
      <c r="A518" s="0" t="n">
        <v>2025</v>
      </c>
      <c r="B518" s="0" t="s">
        <v>1251</v>
      </c>
      <c r="C518" s="0" t="s">
        <v>1252</v>
      </c>
      <c r="D518" s="1" t="s">
        <v>423</v>
      </c>
      <c r="E518" s="0" t="s">
        <v>1253</v>
      </c>
      <c r="F518" s="0" t="n">
        <v>0</v>
      </c>
      <c r="G518" s="0" t="n">
        <v>0</v>
      </c>
      <c r="H518" s="0" t="n">
        <v>0</v>
      </c>
      <c r="I518" s="2" t="n">
        <f aca="false">G518+H518-F518</f>
        <v>0</v>
      </c>
    </row>
    <row r="519" customFormat="false" ht="15.75" hidden="false" customHeight="false" outlineLevel="0" collapsed="false">
      <c r="A519" s="0" t="n">
        <v>2025</v>
      </c>
      <c r="B519" s="0" t="s">
        <v>1254</v>
      </c>
      <c r="C519" s="0" t="s">
        <v>1255</v>
      </c>
      <c r="D519" s="1" t="s">
        <v>514</v>
      </c>
      <c r="E519" s="0" t="s">
        <v>1256</v>
      </c>
      <c r="F519" s="0" t="n">
        <v>0</v>
      </c>
      <c r="G519" s="0" t="n">
        <v>0</v>
      </c>
      <c r="H519" s="0" t="n">
        <v>0</v>
      </c>
      <c r="I519" s="2" t="n">
        <f aca="false">G519+H519-F519</f>
        <v>0</v>
      </c>
    </row>
    <row r="520" customFormat="false" ht="15.75" hidden="false" customHeight="false" outlineLevel="0" collapsed="false">
      <c r="A520" s="0" t="n">
        <v>2025</v>
      </c>
      <c r="B520" s="0" t="s">
        <v>1257</v>
      </c>
      <c r="C520" s="0" t="s">
        <v>1258</v>
      </c>
      <c r="D520" s="1" t="s">
        <v>878</v>
      </c>
      <c r="E520" s="0" t="s">
        <v>691</v>
      </c>
      <c r="F520" s="0" t="n">
        <v>0</v>
      </c>
      <c r="G520" s="0" t="n">
        <v>0</v>
      </c>
      <c r="H520" s="0" t="n">
        <v>0</v>
      </c>
      <c r="I520" s="2" t="n">
        <f aca="false">G520+H520-F520</f>
        <v>0</v>
      </c>
    </row>
    <row r="521" customFormat="false" ht="15.75" hidden="false" customHeight="false" outlineLevel="0" collapsed="false">
      <c r="A521" s="0" t="n">
        <v>2025</v>
      </c>
      <c r="B521" s="0" t="s">
        <v>1259</v>
      </c>
      <c r="C521" s="0" t="s">
        <v>1260</v>
      </c>
      <c r="D521" s="1" t="s">
        <v>878</v>
      </c>
      <c r="E521" s="4" t="n">
        <v>7.10595210071696E+018</v>
      </c>
      <c r="F521" s="0" t="n">
        <v>0</v>
      </c>
      <c r="G521" s="0" t="n">
        <v>0</v>
      </c>
      <c r="H521" s="0" t="n">
        <v>0</v>
      </c>
      <c r="I521" s="2" t="n">
        <f aca="false">G521+H521-F521</f>
        <v>0</v>
      </c>
    </row>
    <row r="522" customFormat="false" ht="15.75" hidden="false" customHeight="false" outlineLevel="0" collapsed="false">
      <c r="A522" s="0" t="n">
        <v>2025</v>
      </c>
      <c r="B522" s="0" t="s">
        <v>1261</v>
      </c>
      <c r="C522" s="0" t="s">
        <v>1262</v>
      </c>
      <c r="D522" s="1" t="s">
        <v>878</v>
      </c>
      <c r="E522" s="0" t="s">
        <v>1263</v>
      </c>
      <c r="F522" s="0" t="n">
        <v>0</v>
      </c>
      <c r="G522" s="0" t="n">
        <v>0</v>
      </c>
      <c r="H522" s="3" t="n">
        <v>5500</v>
      </c>
      <c r="I522" s="2" t="n">
        <f aca="false">G522+H522-F522</f>
        <v>5500</v>
      </c>
    </row>
    <row r="523" customFormat="false" ht="15.75" hidden="false" customHeight="false" outlineLevel="0" collapsed="false">
      <c r="A523" s="0" t="n">
        <v>2025</v>
      </c>
      <c r="B523" s="0" t="s">
        <v>1264</v>
      </c>
      <c r="C523" s="0" t="s">
        <v>1265</v>
      </c>
      <c r="D523" s="1" t="s">
        <v>878</v>
      </c>
      <c r="E523" s="0" t="n">
        <v>711726742</v>
      </c>
      <c r="F523" s="3" t="n">
        <v>0</v>
      </c>
      <c r="G523" s="0" t="n">
        <v>0</v>
      </c>
      <c r="H523" s="3" t="n">
        <v>9000</v>
      </c>
      <c r="I523" s="2" t="n">
        <f aca="false">G523+H523-F523</f>
        <v>9000</v>
      </c>
      <c r="L523" s="3"/>
    </row>
    <row r="524" customFormat="false" ht="15.75" hidden="false" customHeight="false" outlineLevel="0" collapsed="false">
      <c r="A524" s="0" t="n">
        <v>2025</v>
      </c>
      <c r="B524" s="0" t="s">
        <v>1266</v>
      </c>
      <c r="C524" s="0" t="s">
        <v>1267</v>
      </c>
      <c r="D524" s="1" t="s">
        <v>11</v>
      </c>
      <c r="E524" s="0" t="n">
        <v>722968763</v>
      </c>
      <c r="F524" s="0" t="n">
        <v>0</v>
      </c>
      <c r="G524" s="0" t="n">
        <v>0</v>
      </c>
      <c r="H524" s="0" t="n">
        <v>0</v>
      </c>
      <c r="I524" s="2" t="n">
        <f aca="false">G524+H524-F524</f>
        <v>0</v>
      </c>
    </row>
    <row r="525" customFormat="false" ht="15.75" hidden="false" customHeight="false" outlineLevel="0" collapsed="false">
      <c r="A525" s="0" t="n">
        <v>2025</v>
      </c>
      <c r="B525" s="0" t="s">
        <v>1268</v>
      </c>
      <c r="C525" s="0" t="s">
        <v>1269</v>
      </c>
      <c r="D525" s="1" t="s">
        <v>878</v>
      </c>
      <c r="E525" s="0" t="n">
        <v>725951657</v>
      </c>
      <c r="F525" s="0" t="n">
        <v>0</v>
      </c>
      <c r="G525" s="0" t="n">
        <v>0</v>
      </c>
      <c r="H525" s="0" t="n">
        <v>0</v>
      </c>
      <c r="I525" s="2" t="n">
        <f aca="false">G525+H525-F525</f>
        <v>0</v>
      </c>
    </row>
    <row r="526" customFormat="false" ht="15.75" hidden="false" customHeight="false" outlineLevel="0" collapsed="false">
      <c r="A526" s="0" t="n">
        <v>2025</v>
      </c>
      <c r="B526" s="0" t="s">
        <v>1270</v>
      </c>
      <c r="C526" s="0" t="s">
        <v>1271</v>
      </c>
      <c r="D526" s="1" t="s">
        <v>366</v>
      </c>
      <c r="E526" s="0" t="n">
        <v>723054291</v>
      </c>
      <c r="F526" s="0" t="n">
        <v>0</v>
      </c>
      <c r="G526" s="0" t="n">
        <v>0</v>
      </c>
      <c r="H526" s="3" t="n">
        <v>2500</v>
      </c>
      <c r="I526" s="2" t="n">
        <f aca="false">G526+H526-F526</f>
        <v>2500</v>
      </c>
    </row>
    <row r="527" customFormat="false" ht="15.75" hidden="false" customHeight="false" outlineLevel="0" collapsed="false">
      <c r="A527" s="0" t="n">
        <v>2025</v>
      </c>
      <c r="B527" s="0" t="s">
        <v>1272</v>
      </c>
      <c r="C527" s="0" t="s">
        <v>1273</v>
      </c>
      <c r="D527" s="1" t="s">
        <v>878</v>
      </c>
      <c r="E527" s="0" t="s">
        <v>1274</v>
      </c>
      <c r="F527" s="0" t="n">
        <v>0</v>
      </c>
      <c r="G527" s="0" t="n">
        <v>0</v>
      </c>
      <c r="H527" s="0" t="n">
        <v>0</v>
      </c>
      <c r="I527" s="2" t="n">
        <f aca="false">G527+H527-F527</f>
        <v>0</v>
      </c>
    </row>
    <row r="528" customFormat="false" ht="15.75" hidden="false" customHeight="false" outlineLevel="0" collapsed="false">
      <c r="A528" s="0" t="n">
        <v>2025</v>
      </c>
      <c r="B528" s="0" t="s">
        <v>1275</v>
      </c>
      <c r="C528" s="0" t="s">
        <v>1276</v>
      </c>
      <c r="D528" s="1" t="s">
        <v>277</v>
      </c>
      <c r="E528" s="0" t="s">
        <v>1277</v>
      </c>
      <c r="F528" s="0" t="n">
        <v>0</v>
      </c>
      <c r="G528" s="0" t="n">
        <v>0</v>
      </c>
      <c r="H528" s="0" t="n">
        <v>0</v>
      </c>
      <c r="I528" s="2" t="n">
        <f aca="false">G528+H528-F528</f>
        <v>0</v>
      </c>
    </row>
    <row r="529" customFormat="false" ht="15.75" hidden="false" customHeight="false" outlineLevel="0" collapsed="false">
      <c r="A529" s="0" t="n">
        <v>2025</v>
      </c>
      <c r="B529" s="0" t="s">
        <v>1278</v>
      </c>
      <c r="C529" s="0" t="s">
        <v>1279</v>
      </c>
      <c r="D529" s="1" t="s">
        <v>161</v>
      </c>
      <c r="E529" s="0" t="s">
        <v>1277</v>
      </c>
      <c r="F529" s="0" t="n">
        <v>0</v>
      </c>
      <c r="G529" s="0" t="n">
        <v>0</v>
      </c>
      <c r="H529" s="0" t="n">
        <v>0</v>
      </c>
      <c r="I529" s="2" t="n">
        <f aca="false">G529+H529-F529</f>
        <v>0</v>
      </c>
    </row>
    <row r="530" customFormat="false" ht="15.75" hidden="false" customHeight="false" outlineLevel="0" collapsed="false">
      <c r="A530" s="0" t="n">
        <v>2025</v>
      </c>
      <c r="B530" s="0" t="s">
        <v>1280</v>
      </c>
      <c r="C530" s="0" t="s">
        <v>1281</v>
      </c>
      <c r="D530" s="1" t="s">
        <v>366</v>
      </c>
      <c r="E530" s="0" t="s">
        <v>1282</v>
      </c>
      <c r="F530" s="0" t="n">
        <v>0</v>
      </c>
      <c r="G530" s="0" t="n">
        <v>0</v>
      </c>
      <c r="H530" s="0" t="n">
        <v>500</v>
      </c>
      <c r="I530" s="2" t="n">
        <f aca="false">G530+H530-F530</f>
        <v>500</v>
      </c>
    </row>
    <row r="531" customFormat="false" ht="15.75" hidden="false" customHeight="false" outlineLevel="0" collapsed="false">
      <c r="A531" s="0" t="n">
        <v>2025</v>
      </c>
      <c r="B531" s="0" t="s">
        <v>1283</v>
      </c>
      <c r="C531" s="0" t="s">
        <v>1284</v>
      </c>
      <c r="D531" s="1" t="s">
        <v>514</v>
      </c>
      <c r="E531" s="4" t="n">
        <v>7.21210653071232E+028</v>
      </c>
      <c r="F531" s="0" t="n">
        <v>0</v>
      </c>
      <c r="G531" s="0" t="n">
        <v>0</v>
      </c>
      <c r="H531" s="0" t="n">
        <v>0</v>
      </c>
      <c r="I531" s="2" t="n">
        <f aca="false">G531+H531-F531</f>
        <v>0</v>
      </c>
    </row>
    <row r="532" customFormat="false" ht="15.75" hidden="false" customHeight="false" outlineLevel="0" collapsed="false">
      <c r="A532" s="0" t="n">
        <v>2025</v>
      </c>
      <c r="B532" s="0" t="s">
        <v>1285</v>
      </c>
      <c r="C532" s="0" t="s">
        <v>1286</v>
      </c>
      <c r="D532" s="1" t="s">
        <v>423</v>
      </c>
      <c r="E532" s="0" t="s">
        <v>1287</v>
      </c>
      <c r="F532" s="0" t="n">
        <v>0</v>
      </c>
      <c r="G532" s="0" t="n">
        <v>0</v>
      </c>
      <c r="H532" s="0" t="n">
        <v>0</v>
      </c>
      <c r="I532" s="2" t="n">
        <f aca="false">G532+H532-F532</f>
        <v>0</v>
      </c>
    </row>
    <row r="533" customFormat="false" ht="15.75" hidden="false" customHeight="false" outlineLevel="0" collapsed="false">
      <c r="A533" s="0" t="n">
        <v>2025</v>
      </c>
      <c r="B533" s="0" t="s">
        <v>1288</v>
      </c>
      <c r="C533" s="0" t="s">
        <v>1289</v>
      </c>
      <c r="D533" s="1" t="s">
        <v>1290</v>
      </c>
      <c r="E533" s="4" t="n">
        <v>7.2837352107118E+018</v>
      </c>
      <c r="F533" s="0" t="n">
        <v>0</v>
      </c>
      <c r="G533" s="0" t="n">
        <v>0</v>
      </c>
      <c r="H533" s="0" t="n">
        <v>0</v>
      </c>
      <c r="I533" s="2" t="n">
        <f aca="false">G533+H533-F533</f>
        <v>0</v>
      </c>
    </row>
    <row r="534" customFormat="false" ht="15.75" hidden="false" customHeight="false" outlineLevel="0" collapsed="false">
      <c r="A534" s="0" t="n">
        <v>2025</v>
      </c>
      <c r="B534" s="0" t="s">
        <v>1291</v>
      </c>
      <c r="C534" s="0" t="s">
        <v>1292</v>
      </c>
      <c r="D534" s="1" t="s">
        <v>878</v>
      </c>
      <c r="E534" s="0" t="n">
        <v>710849098</v>
      </c>
      <c r="F534" s="0" t="n">
        <v>0</v>
      </c>
      <c r="G534" s="0" t="n">
        <v>0</v>
      </c>
      <c r="H534" s="0" t="n">
        <v>0</v>
      </c>
      <c r="I534" s="2" t="n">
        <f aca="false">G534+H534-F534</f>
        <v>0</v>
      </c>
    </row>
    <row r="535" customFormat="false" ht="15.75" hidden="false" customHeight="false" outlineLevel="0" collapsed="false">
      <c r="A535" s="0" t="n">
        <v>2025</v>
      </c>
      <c r="B535" s="0" t="s">
        <v>1293</v>
      </c>
      <c r="C535" s="0" t="s">
        <v>1294</v>
      </c>
      <c r="D535" s="1" t="s">
        <v>514</v>
      </c>
      <c r="E535" s="0" t="s">
        <v>1295</v>
      </c>
      <c r="F535" s="0" t="n">
        <v>0</v>
      </c>
      <c r="G535" s="0" t="n">
        <v>0</v>
      </c>
      <c r="H535" s="0" t="n">
        <v>0</v>
      </c>
      <c r="I535" s="2" t="n">
        <f aca="false">G535+H535-F535</f>
        <v>0</v>
      </c>
    </row>
    <row r="536" customFormat="false" ht="15.75" hidden="false" customHeight="false" outlineLevel="0" collapsed="false">
      <c r="A536" s="0" t="n">
        <v>2025</v>
      </c>
      <c r="B536" s="0" t="s">
        <v>1296</v>
      </c>
      <c r="C536" s="0" t="s">
        <v>1297</v>
      </c>
      <c r="D536" s="1" t="s">
        <v>1290</v>
      </c>
      <c r="E536" s="0" t="s">
        <v>1298</v>
      </c>
      <c r="F536" s="0" t="n">
        <v>0</v>
      </c>
      <c r="G536" s="0" t="n">
        <v>0</v>
      </c>
      <c r="H536" s="0" t="n">
        <v>0</v>
      </c>
      <c r="I536" s="2" t="n">
        <f aca="false">G536+H536-F536</f>
        <v>0</v>
      </c>
    </row>
    <row r="537" customFormat="false" ht="15.75" hidden="false" customHeight="false" outlineLevel="0" collapsed="false">
      <c r="A537" s="0" t="n">
        <v>2025</v>
      </c>
      <c r="B537" s="0" t="s">
        <v>1299</v>
      </c>
      <c r="C537" s="0" t="s">
        <v>1300</v>
      </c>
      <c r="D537" s="1" t="s">
        <v>514</v>
      </c>
      <c r="E537" s="0" t="s">
        <v>1301</v>
      </c>
      <c r="F537" s="0" t="n">
        <v>0</v>
      </c>
      <c r="G537" s="0" t="n">
        <v>0</v>
      </c>
      <c r="H537" s="0" t="n">
        <v>0</v>
      </c>
      <c r="I537" s="2" t="n">
        <f aca="false">G537+H537-F537</f>
        <v>0</v>
      </c>
    </row>
    <row r="538" customFormat="false" ht="15.75" hidden="false" customHeight="false" outlineLevel="0" collapsed="false">
      <c r="A538" s="0" t="n">
        <v>2025</v>
      </c>
      <c r="B538" s="0" t="s">
        <v>1302</v>
      </c>
      <c r="C538" s="0" t="s">
        <v>1303</v>
      </c>
      <c r="D538" s="1" t="s">
        <v>1290</v>
      </c>
      <c r="E538" s="0" t="s">
        <v>682</v>
      </c>
      <c r="F538" s="0" t="n">
        <v>0</v>
      </c>
      <c r="G538" s="0" t="n">
        <v>0</v>
      </c>
      <c r="H538" s="0" t="n">
        <v>0</v>
      </c>
      <c r="I538" s="2" t="n">
        <f aca="false">G538+H538-F538</f>
        <v>0</v>
      </c>
    </row>
    <row r="539" customFormat="false" ht="15.75" hidden="false" customHeight="false" outlineLevel="0" collapsed="false">
      <c r="A539" s="0" t="n">
        <v>2025</v>
      </c>
      <c r="B539" s="0" t="s">
        <v>1304</v>
      </c>
      <c r="C539" s="0" t="s">
        <v>1305</v>
      </c>
      <c r="D539" s="1" t="s">
        <v>423</v>
      </c>
      <c r="E539" s="0" t="s">
        <v>1306</v>
      </c>
      <c r="F539" s="0" t="n">
        <v>500</v>
      </c>
      <c r="G539" s="0" t="n">
        <v>0</v>
      </c>
      <c r="H539" s="0" t="n">
        <v>0</v>
      </c>
      <c r="I539" s="2" t="n">
        <f aca="false">G539+H539-F539</f>
        <v>-500</v>
      </c>
    </row>
    <row r="540" customFormat="false" ht="15.75" hidden="false" customHeight="false" outlineLevel="0" collapsed="false">
      <c r="A540" s="0" t="n">
        <v>2025</v>
      </c>
      <c r="B540" s="0" t="s">
        <v>1307</v>
      </c>
      <c r="C540" s="0" t="s">
        <v>1308</v>
      </c>
      <c r="D540" s="1" t="s">
        <v>1290</v>
      </c>
      <c r="E540" s="0" t="s">
        <v>1309</v>
      </c>
      <c r="F540" s="0" t="n">
        <v>0</v>
      </c>
      <c r="G540" s="0" t="n">
        <v>0</v>
      </c>
      <c r="H540" s="0" t="n">
        <v>0</v>
      </c>
      <c r="I540" s="2" t="n">
        <f aca="false">G540+H540-F540</f>
        <v>0</v>
      </c>
    </row>
    <row r="541" customFormat="false" ht="15.75" hidden="false" customHeight="false" outlineLevel="0" collapsed="false">
      <c r="A541" s="0" t="n">
        <v>2025</v>
      </c>
      <c r="B541" s="0" t="s">
        <v>1310</v>
      </c>
      <c r="C541" s="0" t="s">
        <v>1311</v>
      </c>
      <c r="D541" s="1" t="s">
        <v>1290</v>
      </c>
      <c r="E541" s="0" t="s">
        <v>1312</v>
      </c>
      <c r="F541" s="0" t="n">
        <v>0</v>
      </c>
      <c r="G541" s="0" t="n">
        <v>0</v>
      </c>
      <c r="H541" s="0" t="n">
        <v>0</v>
      </c>
      <c r="I541" s="2" t="n">
        <f aca="false">G541+H541-F541</f>
        <v>0</v>
      </c>
    </row>
    <row r="542" customFormat="false" ht="15.75" hidden="false" customHeight="false" outlineLevel="0" collapsed="false">
      <c r="A542" s="0" t="n">
        <v>2025</v>
      </c>
      <c r="B542" s="0" t="s">
        <v>1313</v>
      </c>
      <c r="C542" s="0" t="s">
        <v>1314</v>
      </c>
      <c r="D542" s="1" t="s">
        <v>1290</v>
      </c>
      <c r="E542" s="0" t="n">
        <v>726004747</v>
      </c>
      <c r="F542" s="0" t="n">
        <v>0</v>
      </c>
      <c r="G542" s="0" t="n">
        <v>0</v>
      </c>
      <c r="H542" s="0" t="n">
        <v>0</v>
      </c>
      <c r="I542" s="2" t="n">
        <f aca="false">G542+H542-F542</f>
        <v>0</v>
      </c>
    </row>
    <row r="543" customFormat="false" ht="15.75" hidden="false" customHeight="false" outlineLevel="0" collapsed="false">
      <c r="A543" s="0" t="n">
        <v>2025</v>
      </c>
      <c r="B543" s="0" t="s">
        <v>1315</v>
      </c>
      <c r="C543" s="0" t="s">
        <v>1316</v>
      </c>
      <c r="D543" s="1" t="s">
        <v>161</v>
      </c>
      <c r="E543" s="0" t="s">
        <v>1317</v>
      </c>
      <c r="F543" s="0" t="n">
        <v>0</v>
      </c>
      <c r="G543" s="0" t="n">
        <v>0</v>
      </c>
      <c r="H543" s="0" t="n">
        <v>0</v>
      </c>
      <c r="I543" s="2" t="n">
        <f aca="false">G543+H543-F543</f>
        <v>0</v>
      </c>
    </row>
    <row r="544" customFormat="false" ht="15.75" hidden="false" customHeight="false" outlineLevel="0" collapsed="false">
      <c r="A544" s="0" t="n">
        <v>2025</v>
      </c>
      <c r="B544" s="0" t="s">
        <v>1318</v>
      </c>
      <c r="C544" s="0" t="s">
        <v>1319</v>
      </c>
      <c r="D544" s="1" t="s">
        <v>1290</v>
      </c>
      <c r="F544" s="0" t="n">
        <v>0</v>
      </c>
      <c r="G544" s="0" t="n">
        <v>0</v>
      </c>
      <c r="H544" s="0" t="n">
        <v>0</v>
      </c>
      <c r="I544" s="2" t="n">
        <f aca="false">G544+H544-F544</f>
        <v>0</v>
      </c>
    </row>
    <row r="545" customFormat="false" ht="15.75" hidden="false" customHeight="false" outlineLevel="0" collapsed="false">
      <c r="A545" s="0" t="n">
        <v>2025</v>
      </c>
      <c r="B545" s="0" t="s">
        <v>1320</v>
      </c>
      <c r="C545" s="0" t="s">
        <v>1321</v>
      </c>
      <c r="D545" s="1" t="s">
        <v>212</v>
      </c>
      <c r="E545" s="0" t="s">
        <v>1322</v>
      </c>
      <c r="F545" s="0" t="n">
        <v>0</v>
      </c>
      <c r="G545" s="0" t="n">
        <v>0</v>
      </c>
      <c r="H545" s="0" t="n">
        <v>0</v>
      </c>
      <c r="I545" s="2" t="n">
        <f aca="false">G545+H545-F545</f>
        <v>0</v>
      </c>
    </row>
    <row r="546" customFormat="false" ht="15.75" hidden="false" customHeight="false" outlineLevel="0" collapsed="false">
      <c r="A546" s="0" t="n">
        <v>2025</v>
      </c>
      <c r="B546" s="0" t="s">
        <v>1323</v>
      </c>
      <c r="C546" s="0" t="s">
        <v>1324</v>
      </c>
      <c r="D546" s="1" t="s">
        <v>1290</v>
      </c>
      <c r="E546" s="0" t="n">
        <v>724520229</v>
      </c>
      <c r="F546" s="0" t="n">
        <v>0</v>
      </c>
      <c r="G546" s="0" t="n">
        <v>0</v>
      </c>
      <c r="H546" s="0" t="n">
        <v>0</v>
      </c>
      <c r="I546" s="2" t="n">
        <f aca="false">G546+H546-F546</f>
        <v>0</v>
      </c>
    </row>
    <row r="547" customFormat="false" ht="15.75" hidden="false" customHeight="false" outlineLevel="0" collapsed="false">
      <c r="A547" s="0" t="n">
        <v>2025</v>
      </c>
      <c r="B547" s="0" t="s">
        <v>1325</v>
      </c>
      <c r="C547" s="0" t="s">
        <v>1326</v>
      </c>
      <c r="D547" s="1" t="s">
        <v>423</v>
      </c>
      <c r="E547" s="0" t="s">
        <v>1327</v>
      </c>
      <c r="F547" s="0" t="n">
        <v>0</v>
      </c>
      <c r="G547" s="0" t="n">
        <v>0</v>
      </c>
      <c r="H547" s="0" t="n">
        <v>0</v>
      </c>
      <c r="I547" s="2" t="n">
        <f aca="false">G547+H547-F547</f>
        <v>0</v>
      </c>
    </row>
    <row r="548" customFormat="false" ht="15.75" hidden="false" customHeight="false" outlineLevel="0" collapsed="false">
      <c r="A548" s="0" t="n">
        <v>2025</v>
      </c>
      <c r="B548" s="0" t="s">
        <v>1328</v>
      </c>
      <c r="C548" s="0" t="s">
        <v>1329</v>
      </c>
      <c r="D548" s="1" t="s">
        <v>366</v>
      </c>
      <c r="E548" s="0" t="s">
        <v>1330</v>
      </c>
      <c r="F548" s="0" t="n">
        <v>0</v>
      </c>
      <c r="G548" s="0" t="n">
        <v>0</v>
      </c>
      <c r="H548" s="0" t="n">
        <v>0</v>
      </c>
      <c r="I548" s="2" t="n">
        <f aca="false">G548+H548-F548</f>
        <v>0</v>
      </c>
    </row>
    <row r="549" customFormat="false" ht="15.75" hidden="false" customHeight="false" outlineLevel="0" collapsed="false">
      <c r="A549" s="0" t="n">
        <v>2025</v>
      </c>
      <c r="B549" s="0" t="s">
        <v>1331</v>
      </c>
      <c r="C549" s="0" t="s">
        <v>1332</v>
      </c>
      <c r="D549" s="1" t="s">
        <v>1290</v>
      </c>
      <c r="E549" s="0" t="s">
        <v>1333</v>
      </c>
      <c r="F549" s="0" t="n">
        <v>0</v>
      </c>
      <c r="G549" s="0" t="n">
        <v>0</v>
      </c>
      <c r="H549" s="0" t="n">
        <v>0</v>
      </c>
      <c r="I549" s="2" t="n">
        <f aca="false">G549+H549-F549</f>
        <v>0</v>
      </c>
    </row>
    <row r="550" customFormat="false" ht="15.75" hidden="false" customHeight="false" outlineLevel="0" collapsed="false">
      <c r="A550" s="0" t="n">
        <v>2025</v>
      </c>
      <c r="B550" s="0" t="s">
        <v>1334</v>
      </c>
      <c r="C550" s="0" t="s">
        <v>1335</v>
      </c>
      <c r="D550" s="1" t="s">
        <v>1290</v>
      </c>
      <c r="E550" s="0" t="s">
        <v>1336</v>
      </c>
      <c r="F550" s="0" t="n">
        <v>0</v>
      </c>
      <c r="G550" s="0" t="n">
        <v>0</v>
      </c>
      <c r="H550" s="0" t="n">
        <v>0</v>
      </c>
      <c r="I550" s="2" t="n">
        <f aca="false">G550+H550-F550</f>
        <v>0</v>
      </c>
    </row>
    <row r="551" customFormat="false" ht="15.75" hidden="false" customHeight="false" outlineLevel="0" collapsed="false">
      <c r="A551" s="0" t="n">
        <v>2025</v>
      </c>
      <c r="B551" s="0" t="s">
        <v>1337</v>
      </c>
      <c r="C551" s="0" t="s">
        <v>1338</v>
      </c>
      <c r="D551" s="1" t="s">
        <v>514</v>
      </c>
      <c r="E551" s="0" t="s">
        <v>1339</v>
      </c>
      <c r="F551" s="0" t="n">
        <v>500</v>
      </c>
      <c r="G551" s="0" t="n">
        <v>0</v>
      </c>
      <c r="H551" s="0" t="n">
        <v>0</v>
      </c>
      <c r="I551" s="2" t="n">
        <f aca="false">G551+H551-F551</f>
        <v>-500</v>
      </c>
    </row>
    <row r="552" customFormat="false" ht="15.75" hidden="false" customHeight="false" outlineLevel="0" collapsed="false">
      <c r="A552" s="0" t="n">
        <v>2025</v>
      </c>
      <c r="B552" s="0" t="s">
        <v>1340</v>
      </c>
      <c r="C552" s="0" t="s">
        <v>1341</v>
      </c>
      <c r="D552" s="1" t="s">
        <v>212</v>
      </c>
      <c r="E552" s="0" t="s">
        <v>1342</v>
      </c>
      <c r="F552" s="0" t="n">
        <v>0</v>
      </c>
      <c r="G552" s="0" t="n">
        <v>0</v>
      </c>
      <c r="H552" s="0" t="n">
        <v>0</v>
      </c>
      <c r="I552" s="2" t="n">
        <f aca="false">G552+H552-F552</f>
        <v>0</v>
      </c>
    </row>
    <row r="553" customFormat="false" ht="15.75" hidden="false" customHeight="false" outlineLevel="0" collapsed="false">
      <c r="A553" s="0" t="n">
        <v>2025</v>
      </c>
      <c r="B553" s="0" t="s">
        <v>1343</v>
      </c>
      <c r="C553" s="0" t="s">
        <v>1344</v>
      </c>
      <c r="D553" s="1" t="s">
        <v>514</v>
      </c>
      <c r="E553" s="0" t="s">
        <v>1342</v>
      </c>
      <c r="F553" s="0" t="n">
        <v>0</v>
      </c>
      <c r="G553" s="0" t="n">
        <v>0</v>
      </c>
      <c r="H553" s="0" t="n">
        <v>0</v>
      </c>
      <c r="I553" s="2" t="n">
        <f aca="false">G553+H553-F553</f>
        <v>0</v>
      </c>
    </row>
    <row r="554" customFormat="false" ht="15.75" hidden="false" customHeight="false" outlineLevel="0" collapsed="false">
      <c r="A554" s="0" t="n">
        <v>2025</v>
      </c>
      <c r="B554" s="0" t="s">
        <v>1345</v>
      </c>
      <c r="C554" s="0" t="s">
        <v>1346</v>
      </c>
      <c r="D554" s="1" t="s">
        <v>1290</v>
      </c>
      <c r="E554" s="0" t="s">
        <v>1347</v>
      </c>
      <c r="F554" s="0" t="n">
        <v>0</v>
      </c>
      <c r="G554" s="0" t="n">
        <v>0</v>
      </c>
      <c r="H554" s="0" t="n">
        <v>0</v>
      </c>
      <c r="I554" s="2" t="n">
        <f aca="false">G554+H554-F554</f>
        <v>0</v>
      </c>
    </row>
    <row r="555" customFormat="false" ht="15.75" hidden="false" customHeight="false" outlineLevel="0" collapsed="false">
      <c r="A555" s="0" t="n">
        <v>2025</v>
      </c>
      <c r="B555" s="0" t="s">
        <v>1348</v>
      </c>
      <c r="C555" s="0" t="s">
        <v>1349</v>
      </c>
      <c r="D555" s="1" t="s">
        <v>366</v>
      </c>
      <c r="E555" s="0" t="s">
        <v>1350</v>
      </c>
      <c r="F555" s="0" t="n">
        <v>0</v>
      </c>
      <c r="G555" s="0" t="n">
        <v>0</v>
      </c>
      <c r="H555" s="0" t="n">
        <v>0</v>
      </c>
      <c r="I555" s="2" t="n">
        <f aca="false">G555+H555-F555</f>
        <v>0</v>
      </c>
    </row>
    <row r="556" customFormat="false" ht="15.75" hidden="false" customHeight="false" outlineLevel="0" collapsed="false">
      <c r="A556" s="0" t="n">
        <v>2025</v>
      </c>
      <c r="B556" s="0" t="s">
        <v>1351</v>
      </c>
      <c r="C556" s="0" t="s">
        <v>1352</v>
      </c>
      <c r="D556" s="1" t="s">
        <v>1290</v>
      </c>
      <c r="E556" s="0" t="s">
        <v>1353</v>
      </c>
      <c r="F556" s="0" t="n">
        <v>0</v>
      </c>
      <c r="G556" s="0" t="n">
        <v>0</v>
      </c>
      <c r="H556" s="0" t="n">
        <v>0</v>
      </c>
      <c r="I556" s="2" t="n">
        <f aca="false">G556+H556-F556</f>
        <v>0</v>
      </c>
    </row>
    <row r="557" customFormat="false" ht="15.75" hidden="false" customHeight="false" outlineLevel="0" collapsed="false">
      <c r="A557" s="0" t="n">
        <v>2025</v>
      </c>
      <c r="B557" s="0" t="s">
        <v>1354</v>
      </c>
      <c r="C557" s="0" t="s">
        <v>1355</v>
      </c>
      <c r="D557" s="1" t="s">
        <v>1290</v>
      </c>
      <c r="E557" s="0" t="s">
        <v>1356</v>
      </c>
      <c r="F557" s="0" t="n">
        <v>0</v>
      </c>
      <c r="G557" s="0" t="n">
        <v>0</v>
      </c>
      <c r="H557" s="0" t="n">
        <v>0</v>
      </c>
      <c r="I557" s="2" t="n">
        <f aca="false">G557+H557-F557</f>
        <v>0</v>
      </c>
    </row>
    <row r="558" customFormat="false" ht="15.75" hidden="false" customHeight="false" outlineLevel="0" collapsed="false">
      <c r="A558" s="0" t="n">
        <v>2025</v>
      </c>
      <c r="B558" s="0" t="s">
        <v>1357</v>
      </c>
      <c r="C558" s="0" t="s">
        <v>1358</v>
      </c>
      <c r="D558" s="1" t="s">
        <v>1290</v>
      </c>
      <c r="E558" s="0" t="s">
        <v>1359</v>
      </c>
      <c r="F558" s="0" t="n">
        <v>0</v>
      </c>
      <c r="G558" s="0" t="n">
        <v>0</v>
      </c>
      <c r="H558" s="0" t="n">
        <v>0</v>
      </c>
      <c r="I558" s="2" t="n">
        <f aca="false">G558+H558-F558</f>
        <v>0</v>
      </c>
    </row>
    <row r="559" customFormat="false" ht="15.75" hidden="false" customHeight="false" outlineLevel="0" collapsed="false">
      <c r="A559" s="0" t="n">
        <v>2025</v>
      </c>
      <c r="B559" s="0" t="s">
        <v>1360</v>
      </c>
      <c r="C559" s="0" t="s">
        <v>1361</v>
      </c>
      <c r="D559" s="1" t="s">
        <v>514</v>
      </c>
      <c r="E559" s="0" t="s">
        <v>1362</v>
      </c>
      <c r="F559" s="0" t="n">
        <v>650</v>
      </c>
      <c r="G559" s="0" t="n">
        <v>0</v>
      </c>
      <c r="H559" s="0" t="n">
        <v>0</v>
      </c>
      <c r="I559" s="2" t="n">
        <f aca="false">G559+H559-F559</f>
        <v>-650</v>
      </c>
    </row>
    <row r="560" customFormat="false" ht="15.75" hidden="false" customHeight="false" outlineLevel="0" collapsed="false">
      <c r="A560" s="0" t="n">
        <v>2025</v>
      </c>
      <c r="B560" s="0" t="s">
        <v>1363</v>
      </c>
      <c r="C560" s="0" t="s">
        <v>1364</v>
      </c>
      <c r="D560" s="1" t="s">
        <v>1290</v>
      </c>
      <c r="E560" s="0" t="s">
        <v>1365</v>
      </c>
      <c r="F560" s="0" t="n">
        <v>0</v>
      </c>
      <c r="G560" s="0" t="n">
        <v>0</v>
      </c>
      <c r="H560" s="0" t="n">
        <v>0</v>
      </c>
      <c r="I560" s="2" t="n">
        <f aca="false">G560+H560-F560</f>
        <v>0</v>
      </c>
    </row>
    <row r="561" customFormat="false" ht="15.75" hidden="false" customHeight="false" outlineLevel="0" collapsed="false">
      <c r="A561" s="0" t="n">
        <v>2025</v>
      </c>
      <c r="B561" s="0" t="s">
        <v>1366</v>
      </c>
      <c r="C561" s="0" t="s">
        <v>1367</v>
      </c>
      <c r="D561" s="1" t="s">
        <v>1290</v>
      </c>
      <c r="E561" s="0" t="s">
        <v>1368</v>
      </c>
      <c r="F561" s="0" t="n">
        <v>0</v>
      </c>
      <c r="G561" s="0" t="n">
        <v>0</v>
      </c>
      <c r="H561" s="3" t="n">
        <v>5000</v>
      </c>
      <c r="I561" s="2" t="n">
        <f aca="false">G561+H561-F561</f>
        <v>5000</v>
      </c>
    </row>
    <row r="562" customFormat="false" ht="15.75" hidden="false" customHeight="false" outlineLevel="0" collapsed="false">
      <c r="A562" s="0" t="n">
        <v>2025</v>
      </c>
      <c r="B562" s="0" t="s">
        <v>1369</v>
      </c>
      <c r="C562" s="0" t="s">
        <v>1370</v>
      </c>
      <c r="D562" s="1" t="s">
        <v>514</v>
      </c>
      <c r="E562" s="0" t="s">
        <v>1371</v>
      </c>
      <c r="F562" s="0" t="n">
        <v>0</v>
      </c>
      <c r="G562" s="0" t="n">
        <v>0</v>
      </c>
      <c r="H562" s="0" t="n">
        <v>0</v>
      </c>
      <c r="I562" s="2" t="n">
        <f aca="false">G562+H562-F562</f>
        <v>0</v>
      </c>
    </row>
    <row r="563" customFormat="false" ht="15.75" hidden="false" customHeight="false" outlineLevel="0" collapsed="false">
      <c r="A563" s="0" t="n">
        <v>2025</v>
      </c>
      <c r="B563" s="0" t="s">
        <v>1372</v>
      </c>
      <c r="C563" s="0" t="s">
        <v>1373</v>
      </c>
      <c r="D563" s="1" t="s">
        <v>1290</v>
      </c>
      <c r="E563" s="0" t="n">
        <v>722233246</v>
      </c>
      <c r="F563" s="0" t="n">
        <v>0</v>
      </c>
      <c r="G563" s="0" t="n">
        <v>0</v>
      </c>
      <c r="H563" s="0" t="n">
        <v>0</v>
      </c>
      <c r="I563" s="2" t="n">
        <f aca="false">G563+H563-F563</f>
        <v>0</v>
      </c>
    </row>
    <row r="564" customFormat="false" ht="15.75" hidden="false" customHeight="false" outlineLevel="0" collapsed="false">
      <c r="A564" s="0" t="n">
        <v>2025</v>
      </c>
      <c r="B564" s="0" t="s">
        <v>1374</v>
      </c>
      <c r="C564" s="0" t="s">
        <v>1375</v>
      </c>
      <c r="D564" s="1" t="s">
        <v>161</v>
      </c>
      <c r="E564" s="0" t="s">
        <v>1376</v>
      </c>
      <c r="F564" s="0" t="n">
        <v>0</v>
      </c>
      <c r="G564" s="0" t="n">
        <v>0</v>
      </c>
      <c r="H564" s="3" t="n">
        <v>1500</v>
      </c>
      <c r="I564" s="2" t="n">
        <f aca="false">G564+H564-F564</f>
        <v>1500</v>
      </c>
    </row>
    <row r="565" customFormat="false" ht="15.75" hidden="false" customHeight="false" outlineLevel="0" collapsed="false">
      <c r="A565" s="0" t="n">
        <v>2025</v>
      </c>
      <c r="B565" s="0" t="s">
        <v>1377</v>
      </c>
      <c r="C565" s="0" t="s">
        <v>1378</v>
      </c>
      <c r="D565" s="1" t="s">
        <v>514</v>
      </c>
      <c r="E565" s="0" t="s">
        <v>1376</v>
      </c>
      <c r="F565" s="0" t="n">
        <v>0</v>
      </c>
      <c r="G565" s="0" t="n">
        <v>0</v>
      </c>
      <c r="H565" s="3" t="n">
        <v>7500</v>
      </c>
      <c r="I565" s="2" t="n">
        <f aca="false">G565+H565-F565</f>
        <v>7500</v>
      </c>
    </row>
    <row r="566" customFormat="false" ht="15.75" hidden="false" customHeight="false" outlineLevel="0" collapsed="false">
      <c r="A566" s="0" t="n">
        <v>2025</v>
      </c>
      <c r="B566" s="0" t="s">
        <v>1379</v>
      </c>
      <c r="C566" s="0" t="s">
        <v>1380</v>
      </c>
      <c r="D566" s="1" t="s">
        <v>212</v>
      </c>
      <c r="E566" s="0" t="s">
        <v>1381</v>
      </c>
      <c r="F566" s="0" t="n">
        <v>0</v>
      </c>
      <c r="G566" s="0" t="n">
        <v>0</v>
      </c>
      <c r="H566" s="0" t="n">
        <v>0</v>
      </c>
      <c r="I566" s="2" t="n">
        <f aca="false">G566+H566-F566</f>
        <v>0</v>
      </c>
    </row>
    <row r="567" customFormat="false" ht="15.75" hidden="false" customHeight="false" outlineLevel="0" collapsed="false">
      <c r="A567" s="0" t="n">
        <v>2025</v>
      </c>
      <c r="B567" s="0" t="s">
        <v>1382</v>
      </c>
      <c r="C567" s="0" t="s">
        <v>1383</v>
      </c>
      <c r="D567" s="1" t="s">
        <v>161</v>
      </c>
      <c r="E567" s="0" t="s">
        <v>1384</v>
      </c>
      <c r="F567" s="0" t="n">
        <v>0</v>
      </c>
      <c r="G567" s="0" t="n">
        <v>0</v>
      </c>
      <c r="H567" s="0" t="n">
        <v>0</v>
      </c>
      <c r="I567" s="2" t="n">
        <f aca="false">G567+H567-F567</f>
        <v>0</v>
      </c>
    </row>
    <row r="568" customFormat="false" ht="15.75" hidden="false" customHeight="false" outlineLevel="0" collapsed="false">
      <c r="A568" s="0" t="n">
        <v>2025</v>
      </c>
      <c r="B568" s="0" t="s">
        <v>1385</v>
      </c>
      <c r="C568" s="0" t="s">
        <v>1386</v>
      </c>
      <c r="D568" s="1" t="s">
        <v>1290</v>
      </c>
      <c r="E568" s="0" t="s">
        <v>1387</v>
      </c>
      <c r="F568" s="0" t="n">
        <v>0</v>
      </c>
      <c r="G568" s="0" t="n">
        <v>0</v>
      </c>
      <c r="H568" s="0" t="n">
        <v>0</v>
      </c>
      <c r="I568" s="2" t="n">
        <f aca="false">G568+H568-F568</f>
        <v>0</v>
      </c>
    </row>
    <row r="569" customFormat="false" ht="15.75" hidden="false" customHeight="false" outlineLevel="0" collapsed="false">
      <c r="A569" s="0" t="n">
        <v>2025</v>
      </c>
      <c r="B569" s="0" t="s">
        <v>1388</v>
      </c>
      <c r="C569" s="0" t="s">
        <v>1389</v>
      </c>
      <c r="D569" s="1" t="s">
        <v>878</v>
      </c>
      <c r="E569" s="0" t="s">
        <v>1390</v>
      </c>
      <c r="F569" s="0" t="n">
        <v>0</v>
      </c>
      <c r="G569" s="0" t="n">
        <v>0</v>
      </c>
      <c r="H569" s="0" t="n">
        <v>0</v>
      </c>
      <c r="I569" s="2" t="n">
        <f aca="false">G569+H569-F569</f>
        <v>0</v>
      </c>
    </row>
    <row r="570" customFormat="false" ht="15.75" hidden="false" customHeight="false" outlineLevel="0" collapsed="false">
      <c r="A570" s="0" t="n">
        <v>2025</v>
      </c>
      <c r="B570" s="0" t="s">
        <v>1391</v>
      </c>
      <c r="C570" s="0" t="s">
        <v>1392</v>
      </c>
      <c r="D570" s="1" t="s">
        <v>212</v>
      </c>
      <c r="E570" s="0" t="s">
        <v>1393</v>
      </c>
      <c r="F570" s="0" t="n">
        <v>0</v>
      </c>
      <c r="G570" s="0" t="n">
        <v>0</v>
      </c>
      <c r="H570" s="0" t="n">
        <v>0</v>
      </c>
      <c r="I570" s="2" t="n">
        <f aca="false">G570+H570-F570</f>
        <v>0</v>
      </c>
    </row>
    <row r="571" customFormat="false" ht="15.75" hidden="false" customHeight="false" outlineLevel="0" collapsed="false">
      <c r="A571" s="0" t="n">
        <v>2025</v>
      </c>
      <c r="B571" s="0" t="s">
        <v>1394</v>
      </c>
      <c r="C571" s="0" t="s">
        <v>1395</v>
      </c>
      <c r="D571" s="1" t="s">
        <v>423</v>
      </c>
      <c r="E571" s="0" t="s">
        <v>1396</v>
      </c>
      <c r="F571" s="0" t="n">
        <v>0</v>
      </c>
      <c r="G571" s="0" t="n">
        <v>0</v>
      </c>
      <c r="H571" s="0" t="n">
        <v>0</v>
      </c>
      <c r="I571" s="2" t="n">
        <f aca="false">G571+H571-F571</f>
        <v>0</v>
      </c>
    </row>
    <row r="572" customFormat="false" ht="15.75" hidden="false" customHeight="false" outlineLevel="0" collapsed="false">
      <c r="A572" s="0" t="n">
        <v>2025</v>
      </c>
      <c r="B572" s="0" t="s">
        <v>1397</v>
      </c>
      <c r="C572" s="0" t="s">
        <v>1398</v>
      </c>
      <c r="D572" s="1" t="s">
        <v>514</v>
      </c>
      <c r="E572" s="0" t="s">
        <v>1399</v>
      </c>
      <c r="F572" s="0" t="n">
        <v>0</v>
      </c>
      <c r="G572" s="0" t="n">
        <v>0</v>
      </c>
      <c r="H572" s="0" t="n">
        <v>0</v>
      </c>
      <c r="I572" s="2" t="n">
        <f aca="false">G572+H572-F572</f>
        <v>0</v>
      </c>
    </row>
    <row r="573" customFormat="false" ht="15.75" hidden="false" customHeight="false" outlineLevel="0" collapsed="false">
      <c r="A573" s="0" t="n">
        <v>2025</v>
      </c>
      <c r="B573" s="0" t="s">
        <v>1400</v>
      </c>
      <c r="C573" s="0" t="s">
        <v>1401</v>
      </c>
      <c r="D573" s="1" t="s">
        <v>1290</v>
      </c>
      <c r="E573" s="0" t="s">
        <v>1402</v>
      </c>
      <c r="F573" s="0" t="n">
        <v>0</v>
      </c>
      <c r="G573" s="0" t="n">
        <v>0</v>
      </c>
      <c r="H573" s="0" t="n">
        <v>0</v>
      </c>
      <c r="I573" s="2" t="n">
        <f aca="false">G573+H573-F573</f>
        <v>0</v>
      </c>
    </row>
    <row r="574" customFormat="false" ht="15.75" hidden="false" customHeight="false" outlineLevel="0" collapsed="false">
      <c r="A574" s="0" t="n">
        <v>2025</v>
      </c>
      <c r="B574" s="0" t="s">
        <v>1403</v>
      </c>
      <c r="C574" s="0" t="s">
        <v>1404</v>
      </c>
      <c r="D574" s="1" t="s">
        <v>113</v>
      </c>
      <c r="E574" s="0" t="s">
        <v>1405</v>
      </c>
      <c r="F574" s="0" t="n">
        <v>0</v>
      </c>
      <c r="G574" s="0" t="n">
        <v>0</v>
      </c>
      <c r="H574" s="0" t="n">
        <v>0</v>
      </c>
      <c r="I574" s="2" t="n">
        <f aca="false">G574+H574-F574</f>
        <v>0</v>
      </c>
    </row>
    <row r="575" customFormat="false" ht="15.75" hidden="false" customHeight="false" outlineLevel="0" collapsed="false">
      <c r="A575" s="0" t="n">
        <v>2025</v>
      </c>
      <c r="B575" s="0" t="s">
        <v>1406</v>
      </c>
      <c r="C575" s="0" t="s">
        <v>1407</v>
      </c>
      <c r="D575" s="1" t="s">
        <v>113</v>
      </c>
      <c r="E575" s="0" t="n">
        <v>710300806</v>
      </c>
      <c r="F575" s="0" t="n">
        <v>0</v>
      </c>
      <c r="G575" s="0" t="n">
        <v>0</v>
      </c>
      <c r="H575" s="0" t="n">
        <v>0</v>
      </c>
      <c r="I575" s="2" t="n">
        <f aca="false">G575+H575-F575</f>
        <v>0</v>
      </c>
    </row>
    <row r="576" customFormat="false" ht="15.75" hidden="false" customHeight="false" outlineLevel="0" collapsed="false">
      <c r="A576" s="0" t="n">
        <v>2025</v>
      </c>
      <c r="B576" s="0" t="s">
        <v>1408</v>
      </c>
      <c r="C576" s="0" t="s">
        <v>1409</v>
      </c>
      <c r="D576" s="1" t="s">
        <v>50</v>
      </c>
      <c r="F576" s="0" t="n">
        <v>0</v>
      </c>
      <c r="G576" s="0" t="n">
        <v>0</v>
      </c>
      <c r="H576" s="3" t="n">
        <v>26500</v>
      </c>
      <c r="I576" s="2" t="n">
        <f aca="false">G576+H576-F576</f>
        <v>26500</v>
      </c>
    </row>
    <row r="577" customFormat="false" ht="15.75" hidden="false" customHeight="false" outlineLevel="0" collapsed="false">
      <c r="A577" s="0" t="n">
        <v>2025</v>
      </c>
      <c r="B577" s="0" t="s">
        <v>1410</v>
      </c>
      <c r="C577" s="0" t="s">
        <v>1411</v>
      </c>
      <c r="D577" s="1" t="s">
        <v>212</v>
      </c>
      <c r="E577" s="0" t="s">
        <v>1412</v>
      </c>
      <c r="F577" s="0" t="n">
        <v>0</v>
      </c>
      <c r="G577" s="0" t="n">
        <v>0</v>
      </c>
      <c r="H577" s="3" t="n">
        <v>5000</v>
      </c>
      <c r="I577" s="2" t="n">
        <f aca="false">G577+H577-F577</f>
        <v>5000</v>
      </c>
    </row>
    <row r="578" customFormat="false" ht="15.75" hidden="false" customHeight="false" outlineLevel="0" collapsed="false">
      <c r="A578" s="0" t="n">
        <v>2025</v>
      </c>
      <c r="B578" s="0" t="s">
        <v>1413</v>
      </c>
      <c r="C578" s="0" t="s">
        <v>1414</v>
      </c>
      <c r="D578" s="1" t="s">
        <v>113</v>
      </c>
      <c r="E578" s="0" t="s">
        <v>1415</v>
      </c>
      <c r="F578" s="0" t="n">
        <v>0</v>
      </c>
      <c r="G578" s="0" t="n">
        <v>0</v>
      </c>
      <c r="H578" s="0" t="n">
        <v>0</v>
      </c>
      <c r="I578" s="2" t="n">
        <f aca="false">G578+H578-F578</f>
        <v>0</v>
      </c>
    </row>
    <row r="579" customFormat="false" ht="15.75" hidden="false" customHeight="false" outlineLevel="0" collapsed="false">
      <c r="A579" s="0" t="n">
        <v>2025</v>
      </c>
      <c r="B579" s="0" t="s">
        <v>1416</v>
      </c>
      <c r="C579" s="0" t="s">
        <v>1417</v>
      </c>
      <c r="D579" s="1" t="s">
        <v>1290</v>
      </c>
      <c r="E579" s="0" t="s">
        <v>1418</v>
      </c>
      <c r="F579" s="0" t="n">
        <v>0</v>
      </c>
      <c r="G579" s="0" t="n">
        <v>0</v>
      </c>
      <c r="H579" s="0" t="n">
        <v>0</v>
      </c>
      <c r="I579" s="2" t="n">
        <f aca="false">G579+H579-F579</f>
        <v>0</v>
      </c>
    </row>
    <row r="580" customFormat="false" ht="15.75" hidden="false" customHeight="false" outlineLevel="0" collapsed="false">
      <c r="A580" s="0" t="n">
        <v>2025</v>
      </c>
      <c r="B580" s="0" t="s">
        <v>1419</v>
      </c>
      <c r="C580" s="0" t="s">
        <v>1420</v>
      </c>
      <c r="D580" s="1" t="s">
        <v>212</v>
      </c>
      <c r="E580" s="0" t="s">
        <v>1421</v>
      </c>
      <c r="F580" s="0" t="n">
        <v>0</v>
      </c>
      <c r="G580" s="0" t="n">
        <v>0</v>
      </c>
      <c r="H580" s="3" t="n">
        <v>12000</v>
      </c>
      <c r="I580" s="2" t="n">
        <f aca="false">G580+H580-F580</f>
        <v>12000</v>
      </c>
    </row>
    <row r="581" customFormat="false" ht="15.75" hidden="false" customHeight="false" outlineLevel="0" collapsed="false">
      <c r="A581" s="0" t="n">
        <v>2025</v>
      </c>
      <c r="B581" s="0" t="s">
        <v>1422</v>
      </c>
      <c r="C581" s="0" t="s">
        <v>1423</v>
      </c>
      <c r="D581" s="1" t="s">
        <v>514</v>
      </c>
      <c r="E581" s="0" t="s">
        <v>1421</v>
      </c>
      <c r="F581" s="0" t="n">
        <v>0</v>
      </c>
      <c r="G581" s="0" t="n">
        <v>0</v>
      </c>
      <c r="H581" s="3" t="n">
        <v>8000</v>
      </c>
      <c r="I581" s="2" t="n">
        <f aca="false">G581+H581-F581</f>
        <v>8000</v>
      </c>
    </row>
    <row r="582" customFormat="false" ht="15.75" hidden="false" customHeight="false" outlineLevel="0" collapsed="false">
      <c r="A582" s="0" t="n">
        <v>2025</v>
      </c>
      <c r="B582" s="0" t="s">
        <v>1424</v>
      </c>
      <c r="C582" s="0" t="s">
        <v>1425</v>
      </c>
      <c r="D582" s="1" t="s">
        <v>113</v>
      </c>
      <c r="E582" s="0" t="s">
        <v>1426</v>
      </c>
      <c r="F582" s="0" t="n">
        <v>0</v>
      </c>
      <c r="G582" s="0" t="n">
        <v>0</v>
      </c>
      <c r="H582" s="0" t="n">
        <v>0</v>
      </c>
      <c r="I582" s="2" t="n">
        <f aca="false">G582+H582-F582</f>
        <v>0</v>
      </c>
    </row>
    <row r="583" customFormat="false" ht="15.75" hidden="false" customHeight="false" outlineLevel="0" collapsed="false">
      <c r="A583" s="0" t="n">
        <v>2025</v>
      </c>
      <c r="B583" s="0" t="s">
        <v>1427</v>
      </c>
      <c r="C583" s="0" t="s">
        <v>1428</v>
      </c>
      <c r="D583" s="1" t="s">
        <v>113</v>
      </c>
      <c r="E583" s="0" t="s">
        <v>1426</v>
      </c>
      <c r="F583" s="0" t="n">
        <v>0</v>
      </c>
      <c r="G583" s="0" t="n">
        <v>0</v>
      </c>
      <c r="H583" s="0" t="n">
        <v>0</v>
      </c>
      <c r="I583" s="2" t="n">
        <f aca="false">G583+H583-F583</f>
        <v>0</v>
      </c>
    </row>
    <row r="584" customFormat="false" ht="15.75" hidden="false" customHeight="false" outlineLevel="0" collapsed="false">
      <c r="A584" s="0" t="n">
        <v>2025</v>
      </c>
      <c r="B584" s="0" t="s">
        <v>1429</v>
      </c>
      <c r="C584" s="0" t="s">
        <v>1430</v>
      </c>
      <c r="D584" s="1" t="s">
        <v>1290</v>
      </c>
      <c r="E584" s="0" t="s">
        <v>1431</v>
      </c>
      <c r="F584" s="0" t="n">
        <v>0</v>
      </c>
      <c r="G584" s="0" t="n">
        <v>0</v>
      </c>
      <c r="H584" s="0" t="n">
        <v>0</v>
      </c>
      <c r="I584" s="2" t="n">
        <f aca="false">G584+H584-F584</f>
        <v>0</v>
      </c>
    </row>
    <row r="585" customFormat="false" ht="15.75" hidden="false" customHeight="false" outlineLevel="0" collapsed="false">
      <c r="A585" s="0" t="n">
        <v>2025</v>
      </c>
      <c r="B585" s="0" t="s">
        <v>1432</v>
      </c>
      <c r="C585" s="0" t="s">
        <v>1433</v>
      </c>
      <c r="D585" s="1" t="s">
        <v>423</v>
      </c>
      <c r="E585" s="0" t="s">
        <v>1434</v>
      </c>
      <c r="F585" s="0" t="n">
        <v>0</v>
      </c>
      <c r="G585" s="0" t="n">
        <v>0</v>
      </c>
      <c r="H585" s="0" t="n">
        <v>0</v>
      </c>
      <c r="I585" s="2" t="n">
        <f aca="false">G585+H585-F585</f>
        <v>0</v>
      </c>
    </row>
    <row r="586" customFormat="false" ht="15.75" hidden="false" customHeight="false" outlineLevel="0" collapsed="false">
      <c r="A586" s="0" t="n">
        <v>2025</v>
      </c>
      <c r="B586" s="0" t="s">
        <v>1435</v>
      </c>
      <c r="C586" s="0" t="s">
        <v>1436</v>
      </c>
      <c r="D586" s="1" t="s">
        <v>878</v>
      </c>
      <c r="E586" s="0" t="s">
        <v>1437</v>
      </c>
      <c r="F586" s="0" t="n">
        <v>0</v>
      </c>
      <c r="G586" s="0" t="n">
        <v>0</v>
      </c>
      <c r="H586" s="0" t="n">
        <v>0</v>
      </c>
      <c r="I586" s="2" t="n">
        <f aca="false">G586+H586-F586</f>
        <v>0</v>
      </c>
    </row>
    <row r="587" customFormat="false" ht="15.75" hidden="false" customHeight="false" outlineLevel="0" collapsed="false">
      <c r="A587" s="0" t="n">
        <v>2025</v>
      </c>
      <c r="B587" s="0" t="s">
        <v>1438</v>
      </c>
      <c r="C587" s="0" t="s">
        <v>1439</v>
      </c>
      <c r="D587" s="1" t="s">
        <v>1290</v>
      </c>
      <c r="E587" s="0" t="s">
        <v>1440</v>
      </c>
      <c r="F587" s="0" t="n">
        <v>0</v>
      </c>
      <c r="G587" s="0" t="n">
        <v>0</v>
      </c>
      <c r="H587" s="0" t="n">
        <v>0</v>
      </c>
      <c r="I587" s="2" t="n">
        <f aca="false">G587+H587-F587</f>
        <v>0</v>
      </c>
    </row>
    <row r="588" customFormat="false" ht="15.75" hidden="false" customHeight="false" outlineLevel="0" collapsed="false">
      <c r="A588" s="0" t="n">
        <v>2025</v>
      </c>
      <c r="B588" s="0" t="s">
        <v>1441</v>
      </c>
      <c r="C588" s="0" t="s">
        <v>1442</v>
      </c>
      <c r="D588" s="1" t="s">
        <v>113</v>
      </c>
      <c r="E588" s="0" t="n">
        <v>704572207</v>
      </c>
      <c r="F588" s="0" t="n">
        <v>0</v>
      </c>
      <c r="G588" s="0" t="n">
        <v>0</v>
      </c>
      <c r="H588" s="0" t="n">
        <v>0</v>
      </c>
      <c r="I588" s="2" t="n">
        <f aca="false">G588+H588-F588</f>
        <v>0</v>
      </c>
    </row>
    <row r="589" customFormat="false" ht="15.75" hidden="false" customHeight="false" outlineLevel="0" collapsed="false">
      <c r="A589" s="0" t="n">
        <v>2025</v>
      </c>
      <c r="B589" s="0" t="s">
        <v>1443</v>
      </c>
      <c r="C589" s="0" t="s">
        <v>1444</v>
      </c>
      <c r="D589" s="1" t="s">
        <v>113</v>
      </c>
      <c r="E589" s="0" t="n">
        <v>704572207</v>
      </c>
      <c r="F589" s="0" t="n">
        <v>0</v>
      </c>
      <c r="G589" s="0" t="n">
        <v>0</v>
      </c>
      <c r="H589" s="0" t="n">
        <v>0</v>
      </c>
      <c r="I589" s="2" t="n">
        <f aca="false">G589+H589-F589</f>
        <v>0</v>
      </c>
    </row>
    <row r="590" customFormat="false" ht="15.75" hidden="false" customHeight="false" outlineLevel="0" collapsed="false">
      <c r="A590" s="0" t="n">
        <v>2025</v>
      </c>
      <c r="B590" s="0" t="s">
        <v>1445</v>
      </c>
      <c r="C590" s="0" t="s">
        <v>1446</v>
      </c>
      <c r="D590" s="1" t="s">
        <v>1290</v>
      </c>
      <c r="E590" s="0" t="s">
        <v>1447</v>
      </c>
      <c r="F590" s="0" t="n">
        <v>0</v>
      </c>
      <c r="G590" s="0" t="n">
        <v>0</v>
      </c>
      <c r="H590" s="0" t="n">
        <v>0</v>
      </c>
      <c r="I590" s="2" t="n">
        <f aca="false">G590+H590-F590</f>
        <v>0</v>
      </c>
    </row>
    <row r="591" customFormat="false" ht="15.75" hidden="false" customHeight="false" outlineLevel="0" collapsed="false">
      <c r="A591" s="0" t="n">
        <v>2025</v>
      </c>
      <c r="B591" s="0" t="s">
        <v>1448</v>
      </c>
      <c r="C591" s="0" t="s">
        <v>1449</v>
      </c>
      <c r="D591" s="1" t="s">
        <v>113</v>
      </c>
      <c r="E591" s="0" t="s">
        <v>1450</v>
      </c>
      <c r="F591" s="0" t="n">
        <v>0</v>
      </c>
      <c r="G591" s="0" t="n">
        <v>0</v>
      </c>
      <c r="H591" s="0" t="n">
        <v>0</v>
      </c>
      <c r="I591" s="2" t="n">
        <f aca="false">G591+H591-F591</f>
        <v>0</v>
      </c>
    </row>
    <row r="592" customFormat="false" ht="15.75" hidden="false" customHeight="false" outlineLevel="0" collapsed="false">
      <c r="A592" s="0" t="n">
        <v>2025</v>
      </c>
      <c r="B592" s="0" t="s">
        <v>1451</v>
      </c>
      <c r="C592" s="0" t="s">
        <v>1452</v>
      </c>
      <c r="D592" s="1" t="s">
        <v>423</v>
      </c>
      <c r="E592" s="0" t="s">
        <v>1453</v>
      </c>
      <c r="F592" s="0" t="n">
        <v>0</v>
      </c>
      <c r="G592" s="0" t="n">
        <v>0</v>
      </c>
      <c r="H592" s="0" t="n">
        <v>0</v>
      </c>
      <c r="I592" s="2" t="n">
        <f aca="false">G592+H592-F592</f>
        <v>0</v>
      </c>
    </row>
    <row r="593" customFormat="false" ht="15.75" hidden="false" customHeight="false" outlineLevel="0" collapsed="false">
      <c r="A593" s="0" t="n">
        <v>2025</v>
      </c>
      <c r="B593" s="0" t="s">
        <v>1454</v>
      </c>
      <c r="C593" s="0" t="s">
        <v>1455</v>
      </c>
      <c r="D593" s="1" t="s">
        <v>1290</v>
      </c>
      <c r="E593" s="0" t="s">
        <v>1456</v>
      </c>
      <c r="F593" s="0" t="n">
        <v>725</v>
      </c>
      <c r="G593" s="0" t="n">
        <v>0</v>
      </c>
      <c r="H593" s="0" t="n">
        <v>0</v>
      </c>
      <c r="I593" s="2" t="n">
        <f aca="false">G593+H593-F593</f>
        <v>-725</v>
      </c>
    </row>
    <row r="594" customFormat="false" ht="15.75" hidden="false" customHeight="false" outlineLevel="0" collapsed="false">
      <c r="A594" s="0" t="n">
        <v>2025</v>
      </c>
      <c r="B594" s="0" t="s">
        <v>1457</v>
      </c>
      <c r="C594" s="0" t="s">
        <v>1458</v>
      </c>
      <c r="D594" s="1" t="s">
        <v>161</v>
      </c>
      <c r="E594" s="0" t="s">
        <v>1459</v>
      </c>
      <c r="F594" s="0" t="n">
        <v>0</v>
      </c>
      <c r="G594" s="0" t="n">
        <v>0</v>
      </c>
      <c r="H594" s="0" t="n">
        <v>0</v>
      </c>
      <c r="I594" s="2" t="n">
        <f aca="false">G594+H594-F594</f>
        <v>0</v>
      </c>
    </row>
    <row r="595" customFormat="false" ht="15.75" hidden="false" customHeight="false" outlineLevel="0" collapsed="false">
      <c r="A595" s="0" t="n">
        <v>2025</v>
      </c>
      <c r="B595" s="0" t="s">
        <v>1460</v>
      </c>
      <c r="C595" s="0" t="s">
        <v>1461</v>
      </c>
      <c r="D595" s="1" t="s">
        <v>576</v>
      </c>
      <c r="E595" s="0" t="n">
        <v>720973877</v>
      </c>
      <c r="F595" s="0" t="n">
        <v>0</v>
      </c>
      <c r="G595" s="0" t="n">
        <v>0</v>
      </c>
      <c r="H595" s="0" t="n">
        <v>0</v>
      </c>
      <c r="I595" s="2" t="n">
        <f aca="false">G595+H595-F595</f>
        <v>0</v>
      </c>
    </row>
    <row r="596" customFormat="false" ht="15.75" hidden="false" customHeight="false" outlineLevel="0" collapsed="false">
      <c r="A596" s="0" t="n">
        <v>2025</v>
      </c>
      <c r="B596" s="0" t="s">
        <v>1462</v>
      </c>
      <c r="C596" s="0" t="s">
        <v>1463</v>
      </c>
      <c r="D596" s="1" t="s">
        <v>576</v>
      </c>
      <c r="E596" s="0" t="n">
        <v>720973877</v>
      </c>
      <c r="F596" s="0" t="n">
        <v>0</v>
      </c>
      <c r="G596" s="0" t="n">
        <v>0</v>
      </c>
      <c r="H596" s="0" t="n">
        <v>0</v>
      </c>
      <c r="I596" s="2" t="n">
        <f aca="false">G596+H596-F596</f>
        <v>0</v>
      </c>
    </row>
    <row r="597" customFormat="false" ht="15.75" hidden="false" customHeight="false" outlineLevel="0" collapsed="false">
      <c r="A597" s="0" t="n">
        <v>2025</v>
      </c>
      <c r="B597" s="0" t="s">
        <v>1464</v>
      </c>
      <c r="C597" s="0" t="s">
        <v>1465</v>
      </c>
      <c r="D597" s="1" t="s">
        <v>161</v>
      </c>
      <c r="E597" s="0" t="s">
        <v>1466</v>
      </c>
      <c r="F597" s="0" t="n">
        <v>0</v>
      </c>
      <c r="G597" s="0" t="n">
        <v>0</v>
      </c>
      <c r="H597" s="0" t="n">
        <v>0</v>
      </c>
      <c r="I597" s="2" t="n">
        <f aca="false">G597+H597-F597</f>
        <v>0</v>
      </c>
    </row>
    <row r="598" customFormat="false" ht="15.75" hidden="false" customHeight="false" outlineLevel="0" collapsed="false">
      <c r="A598" s="0" t="n">
        <v>2025</v>
      </c>
      <c r="B598" s="0" t="s">
        <v>1467</v>
      </c>
      <c r="C598" s="0" t="s">
        <v>1468</v>
      </c>
      <c r="D598" s="1" t="s">
        <v>50</v>
      </c>
      <c r="E598" s="0" t="s">
        <v>1469</v>
      </c>
      <c r="F598" s="0" t="n">
        <v>0</v>
      </c>
      <c r="G598" s="0" t="n">
        <v>0</v>
      </c>
      <c r="H598" s="0" t="n">
        <v>0</v>
      </c>
      <c r="I598" s="2" t="n">
        <f aca="false">G598+H598-F598</f>
        <v>0</v>
      </c>
    </row>
    <row r="599" customFormat="false" ht="15.75" hidden="false" customHeight="false" outlineLevel="0" collapsed="false">
      <c r="A599" s="0" t="n">
        <v>2025</v>
      </c>
      <c r="B599" s="0" t="s">
        <v>1470</v>
      </c>
      <c r="C599" s="0" t="s">
        <v>1471</v>
      </c>
      <c r="D599" s="1" t="s">
        <v>1290</v>
      </c>
      <c r="E599" s="0" t="s">
        <v>1472</v>
      </c>
      <c r="F599" s="0" t="n">
        <v>0</v>
      </c>
      <c r="G599" s="0" t="n">
        <v>0</v>
      </c>
      <c r="H599" s="0" t="n">
        <v>0</v>
      </c>
      <c r="I599" s="2" t="n">
        <f aca="false">G599+H599-F599</f>
        <v>0</v>
      </c>
    </row>
    <row r="600" customFormat="false" ht="15.75" hidden="false" customHeight="false" outlineLevel="0" collapsed="false">
      <c r="A600" s="0" t="n">
        <v>2025</v>
      </c>
      <c r="B600" s="0" t="s">
        <v>1473</v>
      </c>
      <c r="C600" s="0" t="s">
        <v>1474</v>
      </c>
      <c r="D600" s="1" t="s">
        <v>1290</v>
      </c>
      <c r="F600" s="0" t="n">
        <v>0</v>
      </c>
      <c r="G600" s="0" t="n">
        <v>0</v>
      </c>
      <c r="H600" s="0" t="n">
        <v>0</v>
      </c>
      <c r="I600" s="2" t="n">
        <f aca="false">G600+H600-F600</f>
        <v>0</v>
      </c>
    </row>
    <row r="601" customFormat="false" ht="15.75" hidden="false" customHeight="false" outlineLevel="0" collapsed="false">
      <c r="A601" s="0" t="n">
        <v>2025</v>
      </c>
      <c r="B601" s="0" t="s">
        <v>1475</v>
      </c>
      <c r="C601" s="0" t="s">
        <v>1476</v>
      </c>
      <c r="D601" s="1" t="s">
        <v>1290</v>
      </c>
      <c r="E601" s="0" t="s">
        <v>1477</v>
      </c>
      <c r="F601" s="0" t="n">
        <v>0</v>
      </c>
      <c r="G601" s="0" t="n">
        <v>0</v>
      </c>
      <c r="H601" s="3" t="n">
        <v>15500</v>
      </c>
      <c r="I601" s="2" t="n">
        <f aca="false">G601+H601-F601</f>
        <v>15500</v>
      </c>
    </row>
    <row r="602" customFormat="false" ht="15.75" hidden="false" customHeight="false" outlineLevel="0" collapsed="false">
      <c r="A602" s="0" t="n">
        <v>2025</v>
      </c>
      <c r="B602" s="0" t="s">
        <v>1478</v>
      </c>
      <c r="C602" s="0" t="s">
        <v>1479</v>
      </c>
      <c r="D602" s="1" t="s">
        <v>576</v>
      </c>
      <c r="E602" s="0" t="s">
        <v>1480</v>
      </c>
      <c r="F602" s="0" t="n">
        <v>0</v>
      </c>
      <c r="G602" s="0" t="n">
        <v>0</v>
      </c>
      <c r="H602" s="0" t="n">
        <v>0</v>
      </c>
      <c r="I602" s="2" t="n">
        <f aca="false">G602+H602-F602</f>
        <v>0</v>
      </c>
    </row>
    <row r="603" customFormat="false" ht="15.75" hidden="false" customHeight="false" outlineLevel="0" collapsed="false">
      <c r="A603" s="0" t="n">
        <v>2025</v>
      </c>
      <c r="B603" s="0" t="s">
        <v>1481</v>
      </c>
      <c r="C603" s="0" t="s">
        <v>1482</v>
      </c>
      <c r="D603" s="1" t="s">
        <v>576</v>
      </c>
      <c r="E603" s="0" t="s">
        <v>1483</v>
      </c>
      <c r="F603" s="0" t="n">
        <v>0</v>
      </c>
      <c r="G603" s="0" t="n">
        <v>0</v>
      </c>
      <c r="H603" s="0" t="n">
        <v>0</v>
      </c>
      <c r="I603" s="2" t="n">
        <f aca="false">G603+H603-F603</f>
        <v>0</v>
      </c>
    </row>
    <row r="604" customFormat="false" ht="15.75" hidden="false" customHeight="false" outlineLevel="0" collapsed="false">
      <c r="A604" s="0" t="n">
        <v>2025</v>
      </c>
      <c r="B604" s="0" t="s">
        <v>1484</v>
      </c>
      <c r="C604" s="0" t="s">
        <v>1485</v>
      </c>
      <c r="D604" s="1" t="s">
        <v>1290</v>
      </c>
      <c r="E604" s="0" t="s">
        <v>1486</v>
      </c>
      <c r="F604" s="0" t="n">
        <v>0</v>
      </c>
      <c r="G604" s="0" t="n">
        <v>0</v>
      </c>
      <c r="H604" s="0" t="n">
        <v>0</v>
      </c>
      <c r="I604" s="2" t="n">
        <f aca="false">G604+H604-F604</f>
        <v>0</v>
      </c>
    </row>
    <row r="605" customFormat="false" ht="15.75" hidden="false" customHeight="false" outlineLevel="0" collapsed="false">
      <c r="A605" s="0" t="n">
        <v>2025</v>
      </c>
      <c r="B605" s="0" t="s">
        <v>1487</v>
      </c>
      <c r="C605" s="0" t="s">
        <v>1488</v>
      </c>
      <c r="D605" s="1" t="s">
        <v>1290</v>
      </c>
      <c r="E605" s="0" t="s">
        <v>1489</v>
      </c>
      <c r="F605" s="0" t="n">
        <v>0</v>
      </c>
      <c r="G605" s="0" t="n">
        <v>0</v>
      </c>
      <c r="H605" s="0" t="n">
        <v>0</v>
      </c>
      <c r="I605" s="2" t="n">
        <f aca="false">G605+H605-F605</f>
        <v>0</v>
      </c>
    </row>
    <row r="606" customFormat="false" ht="15.75" hidden="false" customHeight="false" outlineLevel="0" collapsed="false">
      <c r="A606" s="0" t="n">
        <v>2025</v>
      </c>
      <c r="B606" s="0" t="s">
        <v>1490</v>
      </c>
      <c r="C606" s="0" t="s">
        <v>1491</v>
      </c>
      <c r="D606" s="1" t="s">
        <v>1290</v>
      </c>
      <c r="E606" s="0" t="s">
        <v>1492</v>
      </c>
      <c r="F606" s="0" t="n">
        <v>0</v>
      </c>
      <c r="G606" s="0" t="n">
        <v>0</v>
      </c>
      <c r="H606" s="0" t="n">
        <v>0</v>
      </c>
      <c r="I606" s="2" t="n">
        <f aca="false">G606+H606-F606</f>
        <v>0</v>
      </c>
    </row>
    <row r="607" customFormat="false" ht="15.75" hidden="false" customHeight="false" outlineLevel="0" collapsed="false">
      <c r="A607" s="0" t="n">
        <v>2025</v>
      </c>
      <c r="B607" s="0" t="s">
        <v>1493</v>
      </c>
      <c r="C607" s="0" t="s">
        <v>1494</v>
      </c>
      <c r="D607" s="1" t="s">
        <v>1290</v>
      </c>
      <c r="E607" s="0" t="s">
        <v>1495</v>
      </c>
      <c r="F607" s="0" t="n">
        <v>0</v>
      </c>
      <c r="G607" s="0" t="n">
        <v>0</v>
      </c>
      <c r="H607" s="0" t="n">
        <v>0</v>
      </c>
      <c r="I607" s="2" t="n">
        <f aca="false">G607+H607-F607</f>
        <v>0</v>
      </c>
    </row>
    <row r="608" customFormat="false" ht="15.75" hidden="false" customHeight="false" outlineLevel="0" collapsed="false">
      <c r="A608" s="0" t="n">
        <v>2025</v>
      </c>
      <c r="B608" s="0" t="s">
        <v>1496</v>
      </c>
      <c r="C608" s="0" t="s">
        <v>1497</v>
      </c>
      <c r="D608" s="1" t="s">
        <v>1290</v>
      </c>
      <c r="E608" s="0" t="s">
        <v>1498</v>
      </c>
      <c r="F608" s="0" t="n">
        <v>0</v>
      </c>
      <c r="G608" s="0" t="n">
        <v>0</v>
      </c>
      <c r="H608" s="0" t="n">
        <v>0</v>
      </c>
      <c r="I608" s="2" t="n">
        <f aca="false">G608+H608-F608</f>
        <v>0</v>
      </c>
    </row>
    <row r="609" customFormat="false" ht="15.75" hidden="false" customHeight="false" outlineLevel="0" collapsed="false">
      <c r="A609" s="0" t="n">
        <v>2025</v>
      </c>
      <c r="B609" s="0" t="s">
        <v>1499</v>
      </c>
      <c r="C609" s="0" t="s">
        <v>1500</v>
      </c>
      <c r="D609" s="1" t="s">
        <v>366</v>
      </c>
      <c r="E609" s="0" t="s">
        <v>1501</v>
      </c>
      <c r="F609" s="0" t="n">
        <v>0</v>
      </c>
      <c r="G609" s="0" t="n">
        <v>0</v>
      </c>
      <c r="H609" s="0" t="n">
        <v>0</v>
      </c>
      <c r="I609" s="2" t="n">
        <f aca="false">G609+H609-F609</f>
        <v>0</v>
      </c>
    </row>
    <row r="610" customFormat="false" ht="15" hidden="false" customHeight="false" outlineLevel="0" collapsed="false">
      <c r="B610" s="0" t="s">
        <v>1502</v>
      </c>
      <c r="C610" s="0" t="s">
        <v>1503</v>
      </c>
      <c r="D610" s="1" t="s">
        <v>878</v>
      </c>
      <c r="E610" s="0" t="s">
        <v>1504</v>
      </c>
      <c r="F610" s="0" t="n">
        <v>0</v>
      </c>
      <c r="G610" s="0" t="n">
        <v>0</v>
      </c>
      <c r="H610" s="0" t="n">
        <v>0</v>
      </c>
      <c r="I610" s="2" t="n">
        <f aca="false">G610+H610-F610</f>
        <v>0</v>
      </c>
    </row>
    <row r="611" customFormat="false" ht="15.75" hidden="false" customHeight="false" outlineLevel="0" collapsed="false">
      <c r="A611" s="0" t="n">
        <v>2025</v>
      </c>
      <c r="B611" s="0" t="s">
        <v>1505</v>
      </c>
      <c r="C611" s="0" t="s">
        <v>1506</v>
      </c>
      <c r="D611" s="1" t="s">
        <v>878</v>
      </c>
      <c r="E611" s="0" t="s">
        <v>1483</v>
      </c>
      <c r="F611" s="0" t="n">
        <v>0</v>
      </c>
      <c r="G611" s="0" t="n">
        <v>0</v>
      </c>
      <c r="H611" s="0" t="n">
        <v>0</v>
      </c>
      <c r="I611" s="2" t="n">
        <f aca="false">G611+H611-F611</f>
        <v>0</v>
      </c>
    </row>
    <row r="612" customFormat="false" ht="15.75" hidden="false" customHeight="false" outlineLevel="0" collapsed="false">
      <c r="A612" s="0" t="n">
        <v>2025</v>
      </c>
      <c r="B612" s="0" t="s">
        <v>1507</v>
      </c>
      <c r="C612" s="0" t="s">
        <v>1508</v>
      </c>
      <c r="D612" s="1" t="s">
        <v>366</v>
      </c>
      <c r="E612" s="0" t="s">
        <v>1509</v>
      </c>
      <c r="F612" s="0" t="n">
        <v>0</v>
      </c>
      <c r="G612" s="0" t="n">
        <v>0</v>
      </c>
      <c r="H612" s="0" t="n">
        <v>0</v>
      </c>
      <c r="I612" s="2" t="n">
        <f aca="false">G612+H612-F612</f>
        <v>0</v>
      </c>
    </row>
    <row r="613" customFormat="false" ht="15.75" hidden="false" customHeight="false" outlineLevel="0" collapsed="false">
      <c r="A613" s="0" t="n">
        <v>2025</v>
      </c>
      <c r="B613" s="0" t="s">
        <v>1510</v>
      </c>
      <c r="C613" s="0" t="s">
        <v>1511</v>
      </c>
      <c r="D613" s="1" t="s">
        <v>1290</v>
      </c>
      <c r="E613" s="0" t="s">
        <v>1512</v>
      </c>
      <c r="F613" s="0" t="n">
        <v>0</v>
      </c>
      <c r="G613" s="0" t="n">
        <v>0</v>
      </c>
      <c r="H613" s="0" t="n">
        <v>0</v>
      </c>
      <c r="I613" s="2" t="n">
        <f aca="false">G613+H613-F613</f>
        <v>0</v>
      </c>
    </row>
    <row r="614" customFormat="false" ht="15.75" hidden="false" customHeight="false" outlineLevel="0" collapsed="false">
      <c r="A614" s="0" t="n">
        <v>2025</v>
      </c>
      <c r="B614" s="0" t="s">
        <v>1513</v>
      </c>
      <c r="C614" s="0" t="s">
        <v>1514</v>
      </c>
      <c r="D614" s="1" t="s">
        <v>1290</v>
      </c>
      <c r="E614" s="0" t="s">
        <v>1515</v>
      </c>
      <c r="F614" s="0" t="n">
        <v>0</v>
      </c>
      <c r="G614" s="0" t="n">
        <v>0</v>
      </c>
      <c r="H614" s="0" t="n">
        <v>0</v>
      </c>
      <c r="I614" s="2" t="n">
        <f aca="false">G614+H614-F614</f>
        <v>0</v>
      </c>
    </row>
    <row r="615" customFormat="false" ht="15.75" hidden="false" customHeight="false" outlineLevel="0" collapsed="false">
      <c r="A615" s="0" t="n">
        <v>2025</v>
      </c>
      <c r="B615" s="0" t="s">
        <v>1516</v>
      </c>
      <c r="C615" s="0" t="s">
        <v>1517</v>
      </c>
      <c r="D615" s="1" t="s">
        <v>1290</v>
      </c>
      <c r="E615" s="0" t="n">
        <v>769996372</v>
      </c>
      <c r="F615" s="0" t="n">
        <v>0</v>
      </c>
      <c r="G615" s="0" t="n">
        <v>0</v>
      </c>
      <c r="H615" s="0" t="n">
        <v>0</v>
      </c>
      <c r="I615" s="2" t="n">
        <f aca="false">G615+H615-F615</f>
        <v>0</v>
      </c>
    </row>
    <row r="616" customFormat="false" ht="15.75" hidden="false" customHeight="false" outlineLevel="0" collapsed="false">
      <c r="A616" s="0" t="n">
        <v>2025</v>
      </c>
      <c r="B616" s="0" t="s">
        <v>1518</v>
      </c>
      <c r="C616" s="0" t="s">
        <v>1519</v>
      </c>
      <c r="D616" s="1" t="s">
        <v>212</v>
      </c>
      <c r="E616" s="0" t="s">
        <v>1520</v>
      </c>
      <c r="F616" s="0" t="n">
        <v>0</v>
      </c>
      <c r="G616" s="0" t="n">
        <v>0</v>
      </c>
      <c r="H616" s="3" t="n">
        <v>1500</v>
      </c>
      <c r="I616" s="2" t="n">
        <f aca="false">G616+H616-F616</f>
        <v>1500</v>
      </c>
    </row>
    <row r="617" customFormat="false" ht="15.75" hidden="false" customHeight="false" outlineLevel="0" collapsed="false">
      <c r="A617" s="0" t="n">
        <v>2025</v>
      </c>
      <c r="B617" s="0" t="s">
        <v>1521</v>
      </c>
      <c r="C617" s="0" t="s">
        <v>1522</v>
      </c>
      <c r="D617" s="1" t="s">
        <v>423</v>
      </c>
      <c r="E617" s="0" t="s">
        <v>1523</v>
      </c>
      <c r="F617" s="0" t="n">
        <v>0</v>
      </c>
      <c r="G617" s="0" t="n">
        <v>0</v>
      </c>
      <c r="H617" s="0" t="n">
        <v>0</v>
      </c>
      <c r="I617" s="2" t="n">
        <f aca="false">G617+H617-F617</f>
        <v>0</v>
      </c>
    </row>
    <row r="618" customFormat="false" ht="15.75" hidden="false" customHeight="false" outlineLevel="0" collapsed="false">
      <c r="A618" s="0" t="n">
        <v>2025</v>
      </c>
      <c r="B618" s="0" t="s">
        <v>1524</v>
      </c>
      <c r="C618" s="0" t="s">
        <v>1525</v>
      </c>
      <c r="D618" s="1" t="s">
        <v>1290</v>
      </c>
      <c r="E618" s="0" t="s">
        <v>1526</v>
      </c>
      <c r="F618" s="0" t="n">
        <v>0</v>
      </c>
      <c r="G618" s="0" t="n">
        <v>0</v>
      </c>
      <c r="H618" s="0" t="n">
        <v>0</v>
      </c>
      <c r="I618" s="2" t="n">
        <f aca="false">G618+H618-F618</f>
        <v>0</v>
      </c>
    </row>
    <row r="619" customFormat="false" ht="15.75" hidden="false" customHeight="false" outlineLevel="0" collapsed="false">
      <c r="A619" s="0" t="n">
        <v>2025</v>
      </c>
      <c r="B619" s="0" t="s">
        <v>1527</v>
      </c>
      <c r="C619" s="0" t="s">
        <v>1528</v>
      </c>
      <c r="D619" s="1" t="s">
        <v>277</v>
      </c>
      <c r="E619" s="0" t="s">
        <v>1529</v>
      </c>
      <c r="F619" s="0" t="n">
        <v>0</v>
      </c>
      <c r="G619" s="0" t="n">
        <v>0</v>
      </c>
      <c r="H619" s="0" t="n">
        <v>0</v>
      </c>
      <c r="I619" s="2" t="n">
        <f aca="false">G619+H619-F619</f>
        <v>0</v>
      </c>
    </row>
    <row r="620" customFormat="false" ht="15.75" hidden="false" customHeight="false" outlineLevel="0" collapsed="false">
      <c r="A620" s="0" t="n">
        <v>2025</v>
      </c>
      <c r="B620" s="0" t="s">
        <v>1530</v>
      </c>
      <c r="C620" s="0" t="s">
        <v>1531</v>
      </c>
      <c r="D620" s="1" t="s">
        <v>1290</v>
      </c>
      <c r="E620" s="0" t="s">
        <v>1532</v>
      </c>
      <c r="F620" s="0" t="n">
        <v>0</v>
      </c>
      <c r="G620" s="0" t="n">
        <v>0</v>
      </c>
      <c r="H620" s="0" t="n">
        <v>0</v>
      </c>
      <c r="I620" s="2" t="n">
        <f aca="false">G620+H620-F620</f>
        <v>0</v>
      </c>
    </row>
    <row r="621" customFormat="false" ht="15.75" hidden="false" customHeight="false" outlineLevel="0" collapsed="false">
      <c r="A621" s="0" t="n">
        <v>2025</v>
      </c>
      <c r="B621" s="0" t="s">
        <v>1533</v>
      </c>
      <c r="C621" s="0" t="s">
        <v>1534</v>
      </c>
      <c r="D621" s="1" t="s">
        <v>1290</v>
      </c>
      <c r="E621" s="0" t="s">
        <v>1535</v>
      </c>
      <c r="F621" s="0" t="n">
        <v>0</v>
      </c>
      <c r="G621" s="0" t="n">
        <v>0</v>
      </c>
      <c r="H621" s="0" t="n">
        <v>0</v>
      </c>
      <c r="I621" s="2" t="n">
        <f aca="false">G621+H621-F621</f>
        <v>0</v>
      </c>
    </row>
    <row r="622" customFormat="false" ht="15.75" hidden="false" customHeight="false" outlineLevel="0" collapsed="false">
      <c r="A622" s="0" t="n">
        <v>2025</v>
      </c>
      <c r="B622" s="0" t="s">
        <v>1536</v>
      </c>
      <c r="C622" s="0" t="s">
        <v>1537</v>
      </c>
      <c r="D622" s="1" t="s">
        <v>1290</v>
      </c>
      <c r="E622" s="0" t="s">
        <v>1538</v>
      </c>
      <c r="F622" s="0" t="n">
        <v>0</v>
      </c>
      <c r="G622" s="0" t="n">
        <v>0</v>
      </c>
      <c r="H622" s="0" t="n">
        <v>0</v>
      </c>
      <c r="I622" s="2" t="n">
        <f aca="false">G622+H622-F622</f>
        <v>0</v>
      </c>
    </row>
    <row r="623" customFormat="false" ht="15.75" hidden="false" customHeight="false" outlineLevel="0" collapsed="false">
      <c r="A623" s="0" t="n">
        <v>2025</v>
      </c>
      <c r="B623" s="0" t="s">
        <v>1539</v>
      </c>
      <c r="C623" s="0" t="s">
        <v>1540</v>
      </c>
      <c r="D623" s="1" t="s">
        <v>366</v>
      </c>
      <c r="E623" s="0" t="s">
        <v>1541</v>
      </c>
      <c r="F623" s="0" t="n">
        <v>0</v>
      </c>
      <c r="G623" s="0" t="n">
        <v>0</v>
      </c>
      <c r="H623" s="0" t="n">
        <v>0</v>
      </c>
      <c r="I623" s="2" t="n">
        <f aca="false">G623+H623-F623</f>
        <v>0</v>
      </c>
    </row>
    <row r="624" customFormat="false" ht="15.75" hidden="false" customHeight="false" outlineLevel="0" collapsed="false">
      <c r="A624" s="0" t="n">
        <v>2025</v>
      </c>
      <c r="B624" s="0" t="s">
        <v>1542</v>
      </c>
      <c r="C624" s="0" t="s">
        <v>1543</v>
      </c>
      <c r="D624" s="1" t="s">
        <v>1290</v>
      </c>
      <c r="E624" s="0" t="s">
        <v>1544</v>
      </c>
      <c r="F624" s="0" t="n">
        <v>0</v>
      </c>
      <c r="G624" s="0" t="n">
        <v>0</v>
      </c>
      <c r="H624" s="0" t="n">
        <v>0</v>
      </c>
      <c r="I624" s="2" t="n">
        <f aca="false">G624+H624-F624</f>
        <v>0</v>
      </c>
    </row>
    <row r="625" customFormat="false" ht="15.75" hidden="false" customHeight="false" outlineLevel="0" collapsed="false">
      <c r="A625" s="0" t="n">
        <v>2025</v>
      </c>
      <c r="B625" s="0" t="s">
        <v>1545</v>
      </c>
      <c r="C625" s="0" t="s">
        <v>1546</v>
      </c>
      <c r="D625" s="1" t="s">
        <v>878</v>
      </c>
      <c r="E625" s="0" t="s">
        <v>1547</v>
      </c>
      <c r="F625" s="0" t="n">
        <v>0</v>
      </c>
      <c r="G625" s="0" t="n">
        <v>0</v>
      </c>
      <c r="H625" s="0" t="n">
        <v>0</v>
      </c>
      <c r="I625" s="2" t="n">
        <f aca="false">G625+H625-F625</f>
        <v>0</v>
      </c>
    </row>
    <row r="626" customFormat="false" ht="15.75" hidden="false" customHeight="false" outlineLevel="0" collapsed="false">
      <c r="A626" s="0" t="n">
        <v>2025</v>
      </c>
      <c r="B626" s="0" t="s">
        <v>1548</v>
      </c>
      <c r="C626" s="0" t="s">
        <v>1549</v>
      </c>
      <c r="D626" s="1" t="s">
        <v>1290</v>
      </c>
      <c r="E626" s="0" t="s">
        <v>1550</v>
      </c>
      <c r="F626" s="0" t="n">
        <v>0</v>
      </c>
      <c r="G626" s="0" t="n">
        <v>0</v>
      </c>
      <c r="H626" s="0" t="n">
        <v>0</v>
      </c>
      <c r="I626" s="2" t="n">
        <f aca="false">G626+H626-F626</f>
        <v>0</v>
      </c>
    </row>
    <row r="627" customFormat="false" ht="15.75" hidden="false" customHeight="false" outlineLevel="0" collapsed="false">
      <c r="A627" s="0" t="n">
        <v>2025</v>
      </c>
      <c r="B627" s="0" t="s">
        <v>1551</v>
      </c>
      <c r="C627" s="0" t="s">
        <v>1552</v>
      </c>
      <c r="D627" s="1" t="s">
        <v>576</v>
      </c>
      <c r="E627" s="0" t="s">
        <v>1550</v>
      </c>
      <c r="F627" s="0" t="n">
        <v>0</v>
      </c>
      <c r="G627" s="0" t="n">
        <v>0</v>
      </c>
      <c r="H627" s="0" t="n">
        <v>0</v>
      </c>
      <c r="I627" s="2" t="n">
        <f aca="false">G627+H627-F627</f>
        <v>0</v>
      </c>
    </row>
    <row r="628" customFormat="false" ht="15.75" hidden="false" customHeight="false" outlineLevel="0" collapsed="false">
      <c r="A628" s="0" t="n">
        <v>2025</v>
      </c>
      <c r="B628" s="0" t="s">
        <v>1553</v>
      </c>
      <c r="C628" s="0" t="s">
        <v>1554</v>
      </c>
      <c r="D628" s="1" t="s">
        <v>514</v>
      </c>
      <c r="E628" s="0" t="n">
        <v>758712702</v>
      </c>
      <c r="F628" s="0" t="n">
        <v>0</v>
      </c>
      <c r="G628" s="0" t="n">
        <v>0</v>
      </c>
      <c r="H628" s="0" t="n">
        <v>0</v>
      </c>
      <c r="I628" s="2" t="n">
        <f aca="false">G628+H628-F628</f>
        <v>0</v>
      </c>
    </row>
    <row r="629" customFormat="false" ht="15.75" hidden="false" customHeight="false" outlineLevel="0" collapsed="false">
      <c r="A629" s="0" t="n">
        <v>2025</v>
      </c>
      <c r="B629" s="0" t="s">
        <v>1555</v>
      </c>
      <c r="C629" s="0" t="s">
        <v>1556</v>
      </c>
      <c r="D629" s="1" t="s">
        <v>423</v>
      </c>
      <c r="E629" s="0" t="s">
        <v>1557</v>
      </c>
      <c r="F629" s="0" t="n">
        <v>0</v>
      </c>
      <c r="G629" s="0" t="n">
        <v>0</v>
      </c>
      <c r="H629" s="0" t="n">
        <v>0</v>
      </c>
      <c r="I629" s="2" t="n">
        <f aca="false">G629+H629-F629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2025-10-29T08:17:30Z</dcterms:created>
  <dc:creator>PCEA WENDANI ACADEMY</dc:creator>
  <dc:description/>
  <dc:language>en-US</dc:language>
  <cp:lastModifiedBy/>
  <dcterms:modified xsi:type="dcterms:W3CDTF">2026-01-15T20:00:45Z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